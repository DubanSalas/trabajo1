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No_hecho" sheetId="3" state="visible" r:id="rId3"/>
    <sheet name="Mejorar" sheetId="4" state="visible" r:id="rId4"/>
    <sheet name="Cubierto" sheetId="5" state="visible" r:id="rId5"/>
    <sheet name="Cumplimiento" sheetId="6" state="visible" r:id="rId6"/>
  </sheets>
  <definedNames>
    <definedName name="_xlnm._FilterDatabase" localSheetId="1" hidden="1">'Hallazgos'!$A$4:$H$45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Geist"/>
      <b val="1"/>
      <color rgb="00FFFFFF"/>
      <sz val="20"/>
    </font>
    <font>
      <name val="Geist"/>
      <color rgb="0094A3B8"/>
      <sz val="10"/>
    </font>
    <font>
      <name val="Geist"/>
      <b val="1"/>
      <color rgb="0064748B"/>
      <sz val="9"/>
    </font>
    <font>
      <name val="Geist"/>
      <b val="1"/>
      <color rgb="00991B1B"/>
      <sz val="22"/>
    </font>
    <font>
      <name val="Geist"/>
      <color rgb="00111827"/>
      <sz val="11"/>
    </font>
    <font>
      <name val="Geist"/>
      <b val="1"/>
      <color rgb="0064748B"/>
      <sz val="8"/>
    </font>
    <font>
      <name val="Geist"/>
      <b val="1"/>
      <color rgb="000B1220"/>
      <sz val="18"/>
    </font>
    <font>
      <name val="Geist"/>
      <color rgb="0064748B"/>
      <sz val="9"/>
    </font>
    <font>
      <name val="Geist"/>
      <b val="1"/>
      <color rgb="00991B1B"/>
      <sz val="18"/>
    </font>
    <font>
      <name val="Geist"/>
      <color rgb="00111827"/>
      <sz val="10"/>
    </font>
    <font>
      <name val="Geist"/>
      <b val="1"/>
      <color rgb="00111827"/>
      <sz val="12"/>
    </font>
    <font>
      <name val="Geist"/>
      <b val="1"/>
      <color rgb="00FFFFFF"/>
      <sz val="9"/>
    </font>
    <font>
      <name val="Geist"/>
      <b val="1"/>
      <color rgb="00111827"/>
      <sz val="10"/>
    </font>
    <font>
      <name val="Geist"/>
      <b val="1"/>
      <color rgb="00FFFFFF"/>
      <sz val="18"/>
    </font>
    <font>
      <name val="Geist"/>
      <color rgb="0064748B"/>
      <sz val="10"/>
    </font>
    <font>
      <name val="Geist"/>
      <b val="1"/>
      <color rgb="00FFFFFF"/>
      <sz val="14"/>
    </font>
    <font>
      <name val="Geist"/>
      <b val="1"/>
      <color rgb="00111827"/>
      <sz val="11"/>
    </font>
    <font>
      <name val="Geist"/>
      <b val="1"/>
      <color rgb="00111827"/>
      <sz val="9"/>
    </font>
    <font>
      <name val="Geist"/>
      <b val="1"/>
      <color rgb="00166534"/>
      <sz val="22"/>
    </font>
    <font>
      <name val="Geist"/>
      <b val="1"/>
      <color rgb="00166534"/>
      <sz val="10"/>
    </font>
    <font>
      <name val="Geist"/>
      <b val="1"/>
      <color rgb="0064748B"/>
      <sz val="10"/>
    </font>
    <font>
      <name val="Geist"/>
      <color rgb="00111827"/>
      <sz val="9"/>
    </font>
    <font>
      <name val="Geist"/>
      <b val="1"/>
      <color rgb="00166534"/>
      <sz val="9"/>
    </font>
    <font>
      <name val="Geist"/>
      <color rgb="001D4ED8"/>
      <sz val="9"/>
    </font>
  </fonts>
  <fills count="12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E293B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8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pivotButton="0" quotePrefix="0" xfId="0"/>
    <xf numFmtId="0" fontId="13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pivotButton="0" quotePrefix="0" xfId="0"/>
    <xf numFmtId="0" fontId="12" fillId="8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2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15" fillId="6" borderId="0" pivotButton="0" quotePrefix="0" xfId="0"/>
    <xf numFmtId="0" fontId="16" fillId="2" borderId="0" applyAlignment="1" pivotButton="0" quotePrefix="0" xfId="0">
      <alignment horizontal="left" vertical="center" wrapText="1"/>
    </xf>
    <xf numFmtId="0" fontId="17" fillId="0" borderId="0" pivotButton="0" quotePrefix="0" xfId="0"/>
    <xf numFmtId="0" fontId="18" fillId="1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8" fillId="9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Nota por criterio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'Resumen'!H24</f>
            </strRef>
          </tx>
          <spPr>
            <a:ln>
              <a:prstDash val="solid"/>
            </a:ln>
          </spPr>
          <cat>
            <numRef>
              <f>'Resumen'!$G$25:$G$37</f>
            </numRef>
          </cat>
          <val>
            <numRef>
              <f>'Resumen'!$H$25:$H$37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tlab.com/vallegrande/as241s5_prs3/vg-ms-celebration/-/blob/develop/src/main/java/pe/edu/vallegrande/fideinexus/celebration/infrastructure/adapter/out/client/certificate/CertificateClientAdapter.java#L31" TargetMode="External" Id="rId1" /><Relationship Type="http://schemas.openxmlformats.org/officeDocument/2006/relationships/hyperlink" Target="https://gitlab.com/vallegrande/as241s5_prs3/vg-ms-celebration/-/blob/develop/src/main/java/pe/edu/vallegrande/fideinexus/celebration/infrastructure/exception/GlobalExceptionHandler.java" TargetMode="External" Id="rId2" /><Relationship Type="http://schemas.openxmlformats.org/officeDocument/2006/relationships/hyperlink" Target="https://gitlab.com/vallegrande/as241s5_prs3/vg-ms-celebration/-/blob/develop/.env.example" TargetMode="External" Id="rId3" /><Relationship Type="http://schemas.openxmlformats.org/officeDocument/2006/relationships/hyperlink" Target="https://gitlab.com/vallegrande/as241s5_prs3/vg-ms-celebration/-/blob/develop/src/main/java/pe/edu/vallegrande/fideinexus/celebration/application/usecase/CelebrationService.java" TargetMode="External" Id="rId4" /><Relationship Type="http://schemas.openxmlformats.org/officeDocument/2006/relationships/hyperlink" Target="https://gitlab.com/vallegrande/as241s5_prs3/vg-ms-celebration/-/blob/develop/Dockerfile" TargetMode="External" Id="rId5" /><Relationship Type="http://schemas.openxmlformats.org/officeDocument/2006/relationships/hyperlink" Target="https://gitlab.com/vallegrande/as241s5_prs3/vg-ms-celebration/-/blob/develop/README.md" TargetMode="External" Id="rId6" /><Relationship Type="http://schemas.openxmlformats.org/officeDocument/2006/relationships/hyperlink" Target="https://gitlab.com/vallegrande/as241s5_prs3/vg-ms-celebration/-/blob/develop/vg-ms-celebration" TargetMode="External" Id="rId7" /><Relationship Type="http://schemas.openxmlformats.org/officeDocument/2006/relationships/hyperlink" Target="https://gitlab.com/vallegrande/as241s5_prs3/vg-ms-celebration/-/blob/develop/src/main/resources/sql/schema.sql" TargetMode="External" Id="rId8" /><Relationship Type="http://schemas.openxmlformats.org/officeDocument/2006/relationships/hyperlink" Target="https://gitlab.com/vallegrande/as241s5_prs3/vg-ms-celebration/-/blob/develop/src/main/java/pe/edu/vallegrande/fideinexus/celebration/application/usecase/CelebrationService.java#L143" TargetMode="External" Id="rId9" /><Relationship Type="http://schemas.openxmlformats.org/officeDocument/2006/relationships/hyperlink" Target="https://gitlab.com/vallegrande/as241s5_prs3/vg-ms-celebration/-/blob/develop/src/main/java/pe/edu/vallegrande/fideinexus/celebration/infrastructure/adapter/in/rest/controller/CelebrationRest.java#L69" TargetMode="External" Id="rId10" /><Relationship Type="http://schemas.openxmlformats.org/officeDocument/2006/relationships/hyperlink" Target="https://gitlab.com/vallegrande/as241s5_prs3/vg-ms-celebration/-/blob/develop/src/main/java/pe/edu/vallegrande/fideinexus/celebration/infrastructure/security/KeycloakRoleConverter.java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gitlab.com/vallegrande/as241s5_prs3/vg-ms-celebration/-/blob/develop/src/main/java/pe/edu/vallegrande/fideinexus/celebration/infrastructure/adapter/out/client/certificate/CertificateClientAdapter.java#L31" TargetMode="External" Id="rId1" /><Relationship Type="http://schemas.openxmlformats.org/officeDocument/2006/relationships/hyperlink" Target="https://gitlab.com/vallegrande/as241s5_prs3/vg-ms-celebration/-/blob/develop/src/main/java/pe/edu/vallegrande/fideinexus/celebration/infrastructure/exception/GlobalExceptionHandler.java" TargetMode="External" Id="rId2" /><Relationship Type="http://schemas.openxmlformats.org/officeDocument/2006/relationships/hyperlink" Target="https://gitlab.com/vallegrande/as241s5_prs3/vg-ms-celebration/-/blob/develop/.env.example" TargetMode="External" Id="rId3" /><Relationship Type="http://schemas.openxmlformats.org/officeDocument/2006/relationships/hyperlink" Target="https://gitlab.com/vallegrande/as241s5_prs3/vg-ms-celebration/-/blob/develop/src/main/java/pe/edu/vallegrande/fideinexus/celebration/application/usecase/CelebrationService.java" TargetMode="External" Id="rId4" /><Relationship Type="http://schemas.openxmlformats.org/officeDocument/2006/relationships/hyperlink" Target="https://gitlab.com/vallegrande/as241s5_prs3/vg-ms-celebration/-/blob/develop/Dockerfile" TargetMode="External" Id="rId5" /><Relationship Type="http://schemas.openxmlformats.org/officeDocument/2006/relationships/hyperlink" Target="https://gitlab.com/vallegrande/as241s5_prs3/vg-ms-celebration/-/blob/develop/README.md" TargetMode="External" Id="rId6" /><Relationship Type="http://schemas.openxmlformats.org/officeDocument/2006/relationships/hyperlink" Target="https://gitlab.com/vallegrande/as241s5_prs3/vg-ms-celebration/-/blob/develop/vg-ms-celebration" TargetMode="External" Id="rId7" /><Relationship Type="http://schemas.openxmlformats.org/officeDocument/2006/relationships/hyperlink" Target="https://gitlab.com/vallegrande/as241s5_prs3/vg-ms-celebration/-/blob/develop/src/main/resources/sql/schema.sql" TargetMode="External" Id="rId8" /><Relationship Type="http://schemas.openxmlformats.org/officeDocument/2006/relationships/hyperlink" Target="https://gitlab.com/vallegrande/as241s5_prs3/vg-ms-celebration/-/blob/develop/src/main/java/pe/edu/vallegrande/fideinexus/celebration/application/usecase/CelebrationService.java#L143" TargetMode="External" Id="rId9" /><Relationship Type="http://schemas.openxmlformats.org/officeDocument/2006/relationships/hyperlink" Target="https://gitlab.com/vallegrande/as241s5_prs3/vg-ms-celebration/-/blob/develop/src/main/java/pe/edu/vallegrande/fideinexus/celebration/infrastructure/adapter/in/rest/controller/CelebrationRest.java#L69" TargetMode="External" Id="rId10" /><Relationship Type="http://schemas.openxmlformats.org/officeDocument/2006/relationships/hyperlink" Target="https://gitlab.com/vallegrande/as241s5_prs3/vg-ms-celebration/-/blob/develop/src/main/java/pe/edu/vallegrande/fideinexus/celebration/infrastructure/security/KeycloakRoleConverter.java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48" customWidth="1" min="4" max="4"/>
    <col width="12" customWidth="1" min="5" max="5"/>
    <col width="3" customWidth="1" min="6" max="6"/>
    <col width="16" customWidth="1" min="7" max="7"/>
    <col width="8" customWidth="1" min="8" max="8"/>
  </cols>
  <sheetData>
    <row r="1" ht="36" customHeight="1">
      <c r="A1" s="1" t="inlineStr">
        <is>
          <t>Reporte de estándares  ·  vg-ms-celebration</t>
        </is>
      </c>
    </row>
    <row r="2" ht="22" customHeight="1">
      <c r="A2" s="2" t="inlineStr">
        <is>
          <t>Dominio  ·  Agenda parroquial  ·  23/10/2026  ·  D:\vg-ms-arquitect-main\vg-ms-celebrationservice-hexagonal</t>
        </is>
      </c>
    </row>
    <row r="4">
      <c r="A4" s="39" t="inlineStr">
        <is>
          <t>VEREDICTO</t>
        </is>
      </c>
      <c r="C4" s="4" t="inlineStr">
        <is>
          <t>Qué significa este veredicto</t>
        </is>
      </c>
    </row>
    <row r="5" ht="40" customHeight="1">
      <c r="A5" s="40" t="inlineStr">
        <is>
          <t>CUMPLE</t>
        </is>
      </c>
      <c r="C5" s="6" t="inlineStr">
        <is>
          <t>Sin críticos ni fallas.</t>
        </is>
      </c>
    </row>
    <row r="7">
      <c r="A7" s="7" t="inlineStr">
        <is>
          <t>AVANCE</t>
        </is>
      </c>
      <c r="C7" s="7" t="inlineStr">
        <is>
          <t>PUNTAJE</t>
        </is>
      </c>
      <c r="E7" s="7" t="inlineStr">
        <is>
          <t>CUBIERTO</t>
        </is>
      </c>
      <c r="G7" s="7" t="inlineStr">
        <is>
          <t>MEJORAR</t>
        </is>
      </c>
    </row>
    <row r="8">
      <c r="A8" s="8" t="inlineStr">
        <is>
          <t>100%</t>
        </is>
      </c>
      <c r="C8" s="8" t="inlineStr">
        <is>
          <t>5.0 / 5</t>
        </is>
      </c>
      <c r="E8" s="8" t="n">
        <v>38</v>
      </c>
      <c r="G8" s="8" t="n">
        <v>0</v>
      </c>
    </row>
    <row r="9">
      <c r="A9" s="9" t="inlineStr">
        <is>
          <t>Promedio 5.0/5 sobre 13 criterios aplicables</t>
        </is>
      </c>
      <c r="C9" s="9" t="inlineStr">
        <is>
          <t>Cumple y se puede mantener así</t>
        </is>
      </c>
      <c r="E9" s="9" t="inlineStr">
        <is>
          <t>Hallazgos que ya cumplen (nota 4–5)</t>
        </is>
      </c>
      <c r="G9" s="9" t="inlineStr">
        <is>
          <t>Hay base, pero no llega al estándar (2–3)</t>
        </is>
      </c>
    </row>
    <row r="11">
      <c r="A11" s="3" t="inlineStr">
        <is>
          <t>NO HECHO</t>
        </is>
      </c>
      <c r="C11" s="4" t="inlineStr">
        <is>
          <t>Qué cuenta como No hecho</t>
        </is>
      </c>
    </row>
    <row r="12">
      <c r="A12" s="10" t="n">
        <v>0</v>
      </c>
      <c r="C12" s="11" t="inlineStr">
        <is>
          <t>Nota 0–1, o una rotura clara (API abierta, secretos en repo, sin capas/DDD en MS de dominio).</t>
        </is>
      </c>
    </row>
    <row r="14">
      <c r="A14" s="12" t="inlineStr">
        <is>
          <t>Escala de notas (para leer la tabla de abajo)</t>
        </is>
      </c>
    </row>
    <row r="15">
      <c r="A15" s="13" t="inlineStr">
        <is>
          <t>Nota</t>
        </is>
      </c>
      <c r="B15" s="13" t="inlineStr">
        <is>
          <t>Nombre</t>
        </is>
      </c>
      <c r="C15" s="13" t="inlineStr">
        <is>
          <t>Qué quiere decir</t>
        </is>
      </c>
    </row>
    <row r="16">
      <c r="A16" s="14" t="n">
        <v>0</v>
      </c>
      <c r="B16" s="15" t="inlineStr">
        <is>
          <t>Sin avance</t>
        </is>
      </c>
      <c r="C16" s="16" t="inlineStr">
        <is>
          <t>No hay nada alineado al estándar</t>
        </is>
      </c>
    </row>
    <row r="17">
      <c r="A17" s="14" t="n">
        <v>1</v>
      </c>
      <c r="B17" s="15" t="inlineStr">
        <is>
          <t>Inicio</t>
        </is>
      </c>
      <c r="C17" s="16" t="inlineStr">
        <is>
          <t>Hay un intento, todavía no se sostiene</t>
        </is>
      </c>
    </row>
    <row r="18">
      <c r="A18" s="17" t="n">
        <v>2</v>
      </c>
      <c r="B18" s="18" t="inlineStr">
        <is>
          <t>Parcial</t>
        </is>
      </c>
      <c r="C18" s="19" t="inlineStr">
        <is>
          <t>Cumple a medias; faltan piezas clave</t>
        </is>
      </c>
    </row>
    <row r="19">
      <c r="A19" s="17" t="n">
        <v>3</v>
      </c>
      <c r="B19" s="18" t="inlineStr">
        <is>
          <t>Funcional</t>
        </is>
      </c>
      <c r="C19" s="19" t="inlineStr">
        <is>
          <t>Ya se nota el estándar; faltan detalles</t>
        </is>
      </c>
    </row>
    <row r="20">
      <c r="A20" s="20" t="n">
        <v>4</v>
      </c>
      <c r="B20" s="21" t="inlineStr">
        <is>
          <t>Casi listo</t>
        </is>
      </c>
      <c r="C20" s="22" t="inlineStr">
        <is>
          <t>Casi listo; queda poco por cerrar</t>
        </is>
      </c>
    </row>
    <row r="21">
      <c r="A21" s="20" t="n">
        <v>5</v>
      </c>
      <c r="B21" s="21" t="inlineStr">
        <is>
          <t>Completo</t>
        </is>
      </c>
      <c r="C21" s="22" t="inlineStr">
        <is>
          <t>Cumple y se puede mantener así</t>
        </is>
      </c>
    </row>
    <row r="23">
      <c r="A23" s="12" t="inlineStr">
        <is>
          <t>Nota por criterio</t>
        </is>
      </c>
    </row>
    <row r="24">
      <c r="A24" s="13" t="inlineStr">
        <is>
          <t>Criterio</t>
        </is>
      </c>
      <c r="B24" s="13" t="inlineStr">
        <is>
          <t>Nota</t>
        </is>
      </c>
      <c r="C24" s="13" t="inlineStr">
        <is>
          <t>Lectura de la nota</t>
        </is>
      </c>
      <c r="D24" s="13" t="inlineStr">
        <is>
          <t>Qué implica</t>
        </is>
      </c>
      <c r="E24" s="13" t="inlineStr">
        <is>
          <t>Estado</t>
        </is>
      </c>
      <c r="G24" s="23" t="inlineStr">
        <is>
          <t>Criterio</t>
        </is>
      </c>
      <c r="H24" s="23" t="inlineStr">
        <is>
          <t>Nota</t>
        </is>
      </c>
    </row>
    <row r="25">
      <c r="A25" s="41" t="inlineStr">
        <is>
          <t>Estructura</t>
        </is>
      </c>
      <c r="B25" s="42" t="n">
        <v>5</v>
      </c>
      <c r="C25" s="21" t="inlineStr">
        <is>
          <t>5 · Completo</t>
        </is>
      </c>
      <c r="D25" s="21" t="inlineStr">
        <is>
          <t>Cumple y se puede mantener así</t>
        </is>
      </c>
      <c r="E25" s="42" t="inlineStr">
        <is>
          <t>Cubierto</t>
        </is>
      </c>
      <c r="G25" s="26" t="inlineStr">
        <is>
          <t>Estructura</t>
        </is>
      </c>
      <c r="H25" s="26" t="n">
        <v>5</v>
      </c>
    </row>
    <row r="26">
      <c r="A26" s="41" t="inlineStr">
        <is>
          <t>DDD</t>
        </is>
      </c>
      <c r="B26" s="42" t="n">
        <v>5</v>
      </c>
      <c r="C26" s="21" t="inlineStr">
        <is>
          <t>5 · Completo</t>
        </is>
      </c>
      <c r="D26" s="21" t="inlineStr">
        <is>
          <t>Cumple y se puede mantener así</t>
        </is>
      </c>
      <c r="E26" s="42" t="inlineStr">
        <is>
          <t>Cubierto</t>
        </is>
      </c>
      <c r="G26" s="26" t="inlineStr">
        <is>
          <t>DDD</t>
        </is>
      </c>
      <c r="H26" s="26" t="n">
        <v>5</v>
      </c>
    </row>
    <row r="27">
      <c r="A27" s="41" t="inlineStr">
        <is>
          <t>Clean Code</t>
        </is>
      </c>
      <c r="B27" s="42" t="n">
        <v>5</v>
      </c>
      <c r="C27" s="21" t="inlineStr">
        <is>
          <t>5 · Completo</t>
        </is>
      </c>
      <c r="D27" s="21" t="inlineStr">
        <is>
          <t>Cumple y se puede mantener así</t>
        </is>
      </c>
      <c r="E27" s="42" t="inlineStr">
        <is>
          <t>Cubierto</t>
        </is>
      </c>
      <c r="G27" s="26" t="inlineStr">
        <is>
          <t>Clean Code</t>
        </is>
      </c>
      <c r="H27" s="26" t="n">
        <v>5</v>
      </c>
    </row>
    <row r="28">
      <c r="A28" s="41" t="inlineStr">
        <is>
          <t>Persistencia</t>
        </is>
      </c>
      <c r="B28" s="42" t="n">
        <v>5</v>
      </c>
      <c r="C28" s="21" t="inlineStr">
        <is>
          <t>5 · Completo</t>
        </is>
      </c>
      <c r="D28" s="21" t="inlineStr">
        <is>
          <t>Cumple y se puede mantener así</t>
        </is>
      </c>
      <c r="E28" s="42" t="inlineStr">
        <is>
          <t>Cubierto</t>
        </is>
      </c>
      <c r="G28" s="26" t="inlineStr">
        <is>
          <t>Persistencia</t>
        </is>
      </c>
      <c r="H28" s="26" t="n">
        <v>5</v>
      </c>
    </row>
    <row r="29">
      <c r="A29" s="41" t="inlineStr">
        <is>
          <t>API REST</t>
        </is>
      </c>
      <c r="B29" s="42" t="n">
        <v>5</v>
      </c>
      <c r="C29" s="21" t="inlineStr">
        <is>
          <t>5 · Completo</t>
        </is>
      </c>
      <c r="D29" s="21" t="inlineStr">
        <is>
          <t>Cumple y se puede mantener así</t>
        </is>
      </c>
      <c r="E29" s="42" t="inlineStr">
        <is>
          <t>Cubierto</t>
        </is>
      </c>
      <c r="G29" s="26" t="inlineStr">
        <is>
          <t>API REST</t>
        </is>
      </c>
      <c r="H29" s="26" t="n">
        <v>5</v>
      </c>
    </row>
    <row r="30">
      <c r="A30" s="41" t="inlineStr">
        <is>
          <t>Seguridad</t>
        </is>
      </c>
      <c r="B30" s="42" t="n">
        <v>5</v>
      </c>
      <c r="C30" s="21" t="inlineStr">
        <is>
          <t>5 · Completo</t>
        </is>
      </c>
      <c r="D30" s="21" t="inlineStr">
        <is>
          <t>Cumple y se puede mantener así</t>
        </is>
      </c>
      <c r="E30" s="42" t="inlineStr">
        <is>
          <t>Cubierto</t>
        </is>
      </c>
      <c r="G30" s="26" t="inlineStr">
        <is>
          <t>Seguridad</t>
        </is>
      </c>
      <c r="H30" s="26" t="n">
        <v>5</v>
      </c>
    </row>
    <row r="31">
      <c r="A31" s="41" t="inlineStr">
        <is>
          <t>Gateway</t>
        </is>
      </c>
      <c r="B31" s="42" t="n">
        <v>5</v>
      </c>
      <c r="C31" s="21" t="inlineStr">
        <is>
          <t>5 · Completo</t>
        </is>
      </c>
      <c r="D31" s="21" t="inlineStr">
        <is>
          <t>Cumple y se puede mantener así</t>
        </is>
      </c>
      <c r="E31" s="42" t="inlineStr">
        <is>
          <t>Cubierto</t>
        </is>
      </c>
      <c r="G31" s="26" t="inlineStr">
        <is>
          <t>Gateway</t>
        </is>
      </c>
      <c r="H31" s="26" t="n">
        <v>5</v>
      </c>
    </row>
    <row r="32">
      <c r="A32" s="43" t="inlineStr">
        <is>
          <t>Comms entre MS</t>
        </is>
      </c>
      <c r="B32" s="44" t="inlineStr">
        <is>
          <t>n/a</t>
        </is>
      </c>
      <c r="C32" s="45" t="inlineStr">
        <is>
          <t>n/a</t>
        </is>
      </c>
      <c r="D32" s="45" t="inlineStr">
        <is>
          <t>No aplica a este microservicio</t>
        </is>
      </c>
      <c r="E32" s="44" t="inlineStr">
        <is>
          <t>n/a</t>
        </is>
      </c>
      <c r="G32" s="26" t="inlineStr">
        <is>
          <t>Comms entre MS</t>
        </is>
      </c>
      <c r="H32" s="26" t="inlineStr"/>
    </row>
    <row r="33">
      <c r="A33" s="43" t="inlineStr">
        <is>
          <t>Archivos</t>
        </is>
      </c>
      <c r="B33" s="44" t="inlineStr">
        <is>
          <t>n/a</t>
        </is>
      </c>
      <c r="C33" s="45" t="inlineStr">
        <is>
          <t>n/a</t>
        </is>
      </c>
      <c r="D33" s="45" t="inlineStr">
        <is>
          <t>No aplica a este microservicio</t>
        </is>
      </c>
      <c r="E33" s="44" t="inlineStr">
        <is>
          <t>n/a</t>
        </is>
      </c>
      <c r="G33" s="26" t="inlineStr">
        <is>
          <t>Archivos</t>
        </is>
      </c>
      <c r="H33" s="26" t="inlineStr"/>
    </row>
    <row r="34">
      <c r="A34" s="41" t="inlineStr">
        <is>
          <t>Config / env</t>
        </is>
      </c>
      <c r="B34" s="42" t="n">
        <v>5</v>
      </c>
      <c r="C34" s="21" t="inlineStr">
        <is>
          <t>5 · Completo</t>
        </is>
      </c>
      <c r="D34" s="21" t="inlineStr">
        <is>
          <t>Cumple y se puede mantener así</t>
        </is>
      </c>
      <c r="E34" s="42" t="inlineStr">
        <is>
          <t>Cubierto</t>
        </is>
      </c>
      <c r="G34" s="26" t="inlineStr">
        <is>
          <t>Config / env</t>
        </is>
      </c>
      <c r="H34" s="26" t="n">
        <v>5</v>
      </c>
    </row>
    <row r="35">
      <c r="A35" s="41" t="inlineStr">
        <is>
          <t>Docker + README</t>
        </is>
      </c>
      <c r="B35" s="42" t="n">
        <v>5</v>
      </c>
      <c r="C35" s="21" t="inlineStr">
        <is>
          <t>5 · Completo</t>
        </is>
      </c>
      <c r="D35" s="21" t="inlineStr">
        <is>
          <t>Cumple y se puede mantener así</t>
        </is>
      </c>
      <c r="E35" s="42" t="inlineStr">
        <is>
          <t>Cubierto</t>
        </is>
      </c>
      <c r="G35" s="26" t="inlineStr">
        <is>
          <t>Docker + README</t>
        </is>
      </c>
      <c r="H35" s="26" t="n">
        <v>5</v>
      </c>
    </row>
    <row r="36">
      <c r="A36" s="41" t="inlineStr">
        <is>
          <t>Pruebas</t>
        </is>
      </c>
      <c r="B36" s="42" t="n">
        <v>5</v>
      </c>
      <c r="C36" s="21" t="inlineStr">
        <is>
          <t>5 · Completo</t>
        </is>
      </c>
      <c r="D36" s="21" t="inlineStr">
        <is>
          <t>Cumple y se puede mantener así</t>
        </is>
      </c>
      <c r="E36" s="42" t="inlineStr">
        <is>
          <t>Cubierto</t>
        </is>
      </c>
      <c r="G36" s="26" t="inlineStr">
        <is>
          <t>Pruebas</t>
        </is>
      </c>
      <c r="H36" s="26" t="n">
        <v>5</v>
      </c>
    </row>
    <row r="37">
      <c r="A37" s="41" t="inlineStr">
        <is>
          <t>Errores y logs</t>
        </is>
      </c>
      <c r="B37" s="42" t="n">
        <v>5</v>
      </c>
      <c r="C37" s="21" t="inlineStr">
        <is>
          <t>5 · Completo</t>
        </is>
      </c>
      <c r="D37" s="21" t="inlineStr">
        <is>
          <t>Cumple y se puede mantener así</t>
        </is>
      </c>
      <c r="E37" s="42" t="inlineStr">
        <is>
          <t>Cubierto</t>
        </is>
      </c>
      <c r="G37" s="26" t="inlineStr">
        <is>
          <t>Errores y logs</t>
        </is>
      </c>
      <c r="H37" s="26" t="n">
        <v>5</v>
      </c>
    </row>
    <row r="39">
      <c r="A39" s="12" t="inlineStr">
        <is>
          <t>Prioridades (top 5)</t>
        </is>
      </c>
    </row>
    <row r="40">
      <c r="A40" t="inlineStr">
        <is>
          <t>1.</t>
        </is>
      </c>
      <c r="B40" t="inlineStr">
        <is>
          <t>Mantener.</t>
        </is>
      </c>
    </row>
    <row r="41">
      <c r="A41" t="inlineStr">
        <is>
          <t>2.</t>
        </is>
      </c>
      <c r="B41" t="inlineStr"/>
    </row>
    <row r="42">
      <c r="A42" t="inlineStr">
        <is>
          <t>3.</t>
        </is>
      </c>
      <c r="B42" t="inlineStr"/>
    </row>
    <row r="43">
      <c r="A43" t="inlineStr">
        <is>
          <t>4.</t>
        </is>
      </c>
      <c r="B43" t="inlineStr"/>
    </row>
    <row r="44">
      <c r="A44" t="inlineStr">
        <is>
          <t>5.</t>
        </is>
      </c>
      <c r="B44" t="inlineStr"/>
    </row>
  </sheetData>
  <mergeCells count="27">
    <mergeCell ref="B40:E40"/>
    <mergeCell ref="A11:B11"/>
    <mergeCell ref="A1:H1"/>
    <mergeCell ref="G8:H8"/>
    <mergeCell ref="C12:H12"/>
    <mergeCell ref="E8:F8"/>
    <mergeCell ref="C11:H11"/>
    <mergeCell ref="B41:E41"/>
    <mergeCell ref="A7:B7"/>
    <mergeCell ref="G7:H7"/>
    <mergeCell ref="C9:D9"/>
    <mergeCell ref="E9:F9"/>
    <mergeCell ref="A12:B12"/>
    <mergeCell ref="B43:E43"/>
    <mergeCell ref="A2:H2"/>
    <mergeCell ref="A5:B5"/>
    <mergeCell ref="B42:E42"/>
    <mergeCell ref="A8:B8"/>
    <mergeCell ref="C8:D8"/>
    <mergeCell ref="A4:B4"/>
    <mergeCell ref="C7:D7"/>
    <mergeCell ref="E7:F7"/>
    <mergeCell ref="C5:H5"/>
    <mergeCell ref="B44:E44"/>
    <mergeCell ref="C4:H4"/>
    <mergeCell ref="A9:B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7" customWidth="1" min="4" max="4"/>
    <col width="16" customWidth="1" min="5" max="5"/>
    <col width="52" customWidth="1" min="6" max="6"/>
    <col width="46" customWidth="1" min="7" max="7"/>
    <col width="42" customWidth="1" min="8" max="8"/>
  </cols>
  <sheetData>
    <row r="1" ht="32" customHeight="1">
      <c r="A1" s="27" t="inlineStr">
        <is>
          <t>Hallazgos  ·  vg-ms-celebration</t>
        </is>
      </c>
    </row>
    <row r="2">
      <c r="A2" s="28" t="inlineStr">
        <is>
          <t>Primero lo urgente. El enlace de “Dónde mirar” abre el archivo en el repo si hay URL base.</t>
        </is>
      </c>
    </row>
    <row r="4">
      <c r="A4" s="13" t="inlineStr">
        <is>
          <t>#</t>
        </is>
      </c>
      <c r="B4" s="13" t="inlineStr">
        <is>
          <t>Estado</t>
        </is>
      </c>
      <c r="C4" s="13" t="inlineStr">
        <is>
          <t>Criterio</t>
        </is>
      </c>
      <c r="D4" s="13" t="inlineStr">
        <is>
          <t>Nota</t>
        </is>
      </c>
      <c r="E4" s="13" t="inlineStr">
        <is>
          <t>Lectura</t>
        </is>
      </c>
      <c r="F4" s="13" t="inlineStr">
        <is>
          <t>Qué encontramos</t>
        </is>
      </c>
      <c r="G4" s="13" t="inlineStr">
        <is>
          <t>Dónde mirar</t>
        </is>
      </c>
      <c r="H4" s="13" t="inlineStr">
        <is>
          <t>Qué hacer</t>
        </is>
      </c>
    </row>
    <row r="5" ht="40" customHeight="1">
      <c r="A5" s="46" t="n">
        <v>1</v>
      </c>
      <c r="B5" s="47" t="inlineStr">
        <is>
          <t>Cubierto</t>
        </is>
      </c>
      <c r="C5" s="46" t="inlineStr">
        <is>
          <t>API REST</t>
        </is>
      </c>
      <c r="D5" s="46" t="n">
        <v>5</v>
      </c>
      <c r="E5" s="46" t="inlineStr">
        <is>
          <t>5 · Completo</t>
        </is>
      </c>
      <c r="F5" s="48" t="inlineStr">
        <is>
          <t>Rutas bajo /api/v1/{recurso} | Base: /api/v1/certificates.</t>
        </is>
      </c>
      <c r="G5" s="49" t="inlineStr">
        <is>
          <t>src/main/java/pe/edu/vallegrande/fideinexus/celebration/infrastructure/adapter/out/client/certificate/CertificateClientAdapter.java:31</t>
        </is>
      </c>
      <c r="H5" s="48" t="inlineStr">
        <is>
          <t>Mantener.</t>
        </is>
      </c>
    </row>
    <row r="6" ht="40" customHeight="1">
      <c r="A6" s="46" t="n">
        <v>2</v>
      </c>
      <c r="B6" s="47" t="inlineStr">
        <is>
          <t>Cubierto</t>
        </is>
      </c>
      <c r="C6" s="46" t="inlineStr">
        <is>
          <t>API REST</t>
        </is>
      </c>
      <c r="D6" s="46" t="n">
        <v>5</v>
      </c>
      <c r="E6" s="46" t="inlineStr">
        <is>
          <t>5 · Completo</t>
        </is>
      </c>
      <c r="F6" s="48" t="inlineStr">
        <is>
          <t>Recursos en plural y kebab-case | Recursos: certificates, preparations, service-participants, service-types, services.</t>
        </is>
      </c>
      <c r="G6" s="48" t="inlineStr">
        <is>
          <t>—</t>
        </is>
      </c>
      <c r="H6" s="48" t="inlineStr">
        <is>
          <t>Mantener.</t>
        </is>
      </c>
    </row>
    <row r="7" ht="40" customHeight="1">
      <c r="A7" s="46" t="n">
        <v>3</v>
      </c>
      <c r="B7" s="47" t="inlineStr">
        <is>
          <t>Cubierto</t>
        </is>
      </c>
      <c r="C7" s="46" t="inlineStr">
        <is>
          <t>API REST</t>
        </is>
      </c>
      <c r="D7" s="46" t="n">
        <v>5</v>
      </c>
      <c r="E7" s="46" t="inlineStr">
        <is>
          <t>5 · Completo</t>
        </is>
      </c>
      <c r="F7" s="48" t="inlineStr">
        <is>
          <t>DTOs *Request / *Response, sin entidades | 6 DTOs de API con sufijo de request o respuesta.</t>
        </is>
      </c>
      <c r="G7" s="48" t="inlineStr">
        <is>
          <t>—</t>
        </is>
      </c>
      <c r="H7" s="48" t="inlineStr">
        <is>
          <t>Mantener.</t>
        </is>
      </c>
    </row>
    <row r="8" ht="40" customHeight="1">
      <c r="A8" s="46" t="n">
        <v>4</v>
      </c>
      <c r="B8" s="47" t="inlineStr">
        <is>
          <t>Cubierto</t>
        </is>
      </c>
      <c r="C8" s="46" t="inlineStr">
        <is>
          <t>API REST</t>
        </is>
      </c>
      <c r="D8" s="46" t="n">
        <v>5</v>
      </c>
      <c r="E8" s="46" t="inlineStr">
        <is>
          <t>5 · Completo</t>
        </is>
      </c>
      <c r="F8" s="48" t="inlineStr">
        <is>
          <t>Códigos HTTP correctos | 422 está documentado como excepción exigida por el estándar de seguridad: Los errores de validación responden 422 porque lo exige el estándar de seguridad; esta guía y el de reportes piden 400.</t>
        </is>
      </c>
      <c r="G8" s="48" t="inlineStr">
        <is>
          <t>—</t>
        </is>
      </c>
      <c r="H8" s="48" t="inlineStr">
        <is>
          <t>Mantener 422 mientras lo exija el estándar de seguridad.</t>
        </is>
      </c>
    </row>
    <row r="9" ht="40" customHeight="1">
      <c r="A9" s="46" t="n">
        <v>5</v>
      </c>
      <c r="B9" s="47" t="inlineStr">
        <is>
          <t>Cubierto</t>
        </is>
      </c>
      <c r="C9" s="46" t="inlineStr">
        <is>
          <t>API REST</t>
        </is>
      </c>
      <c r="D9" s="46" t="n">
        <v>5</v>
      </c>
      <c r="E9" s="46" t="inlineStr">
        <is>
          <t>5 · Completo</t>
        </is>
      </c>
      <c r="F9" s="48" t="inlineStr">
        <is>
          <t>GlobalExceptionHandler con formato uniforme | Manejador global con la misma envoltura de respuesta.</t>
        </is>
      </c>
      <c r="G9" s="49" t="inlineStr">
        <is>
          <t>src/main/java/pe/edu/vallegrande/fideinexus/celebration/infrastructure/exception/GlobalExceptionHandler.java</t>
        </is>
      </c>
      <c r="H9" s="48" t="inlineStr">
        <is>
          <t>Mantener.</t>
        </is>
      </c>
    </row>
    <row r="10" ht="40" customHeight="1">
      <c r="A10" s="46" t="n">
        <v>6</v>
      </c>
      <c r="B10" s="47" t="inlineStr">
        <is>
          <t>Cubierto</t>
        </is>
      </c>
      <c r="C10" s="46" t="inlineStr">
        <is>
          <t>API REST</t>
        </is>
      </c>
      <c r="D10" s="46" t="n">
        <v>5</v>
      </c>
      <c r="E10" s="46" t="inlineStr">
        <is>
          <t>5 · Completo</t>
        </is>
      </c>
      <c r="F10" s="48" t="inlineStr">
        <is>
          <t>OpenAPI en endpoints públicos | springdoc y @Operation en los controllers.</t>
        </is>
      </c>
      <c r="G10" s="48" t="inlineStr">
        <is>
          <t>—</t>
        </is>
      </c>
      <c r="H10" s="48" t="inlineStr">
        <is>
          <t>Mantener.</t>
        </is>
      </c>
    </row>
    <row r="11" ht="40" customHeight="1">
      <c r="A11" s="46" t="n">
        <v>7</v>
      </c>
      <c r="B11" s="47" t="inlineStr">
        <is>
          <t>Cubierto</t>
        </is>
      </c>
      <c r="C11" s="46" t="inlineStr">
        <is>
          <t>Clean Code</t>
        </is>
      </c>
      <c r="D11" s="46" t="n">
        <v>5</v>
      </c>
      <c r="E11" s="46" t="inlineStr">
        <is>
          <t>5 · Completo</t>
        </is>
      </c>
      <c r="F11" s="48" t="inlineStr">
        <is>
          <t>Inyección por constructor | Inyección por constructor o inject(); sin @Autowired.</t>
        </is>
      </c>
      <c r="G11" s="48" t="inlineStr">
        <is>
          <t>—</t>
        </is>
      </c>
      <c r="H11" s="48" t="inlineStr">
        <is>
          <t>Mantener.</t>
        </is>
      </c>
    </row>
    <row r="12" ht="40" customHeight="1">
      <c r="A12" s="46" t="n">
        <v>8</v>
      </c>
      <c r="B12" s="47" t="inlineStr">
        <is>
          <t>Cubierto</t>
        </is>
      </c>
      <c r="C12" s="46" t="inlineStr">
        <is>
          <t>Clean Code</t>
        </is>
      </c>
      <c r="D12" s="46" t="n">
        <v>5</v>
      </c>
      <c r="E12" s="46" t="inlineStr">
        <is>
          <t>5 · Completo</t>
        </is>
      </c>
      <c r="F12" s="48" t="inlineStr">
        <is>
          <t>Sin literales mágicos de negocio | Estados y roles vienen de enums y constantes.</t>
        </is>
      </c>
      <c r="G12" s="48" t="inlineStr">
        <is>
          <t>—</t>
        </is>
      </c>
      <c r="H12" s="48" t="inlineStr">
        <is>
          <t>Mantener.</t>
        </is>
      </c>
    </row>
    <row r="13" ht="40" customHeight="1">
      <c r="A13" s="46" t="n">
        <v>9</v>
      </c>
      <c r="B13" s="47" t="inlineStr">
        <is>
          <t>Cubierto</t>
        </is>
      </c>
      <c r="C13" s="46" t="inlineStr">
        <is>
          <t>Clean Code</t>
        </is>
      </c>
      <c r="D13" s="46" t="n">
        <v>5</v>
      </c>
      <c r="E13" s="46" t="inlineStr">
        <is>
          <t>5 · Completo</t>
        </is>
      </c>
      <c r="F13" s="48" t="inlineStr">
        <is>
          <t>@Valid en el borde de entrada | Todo @RequestBody lleva @Valid.</t>
        </is>
      </c>
      <c r="G13" s="48" t="inlineStr">
        <is>
          <t>—</t>
        </is>
      </c>
      <c r="H13" s="48" t="inlineStr">
        <is>
          <t>Mantener.</t>
        </is>
      </c>
    </row>
    <row r="14" ht="40" customHeight="1">
      <c r="A14" s="46" t="n">
        <v>10</v>
      </c>
      <c r="B14" s="47" t="inlineStr">
        <is>
          <t>Cubierto</t>
        </is>
      </c>
      <c r="C14" s="46" t="inlineStr">
        <is>
          <t>Clean Code</t>
        </is>
      </c>
      <c r="D14" s="46" t="n">
        <v>5</v>
      </c>
      <c r="E14" s="46" t="inlineStr">
        <is>
          <t>5 · Completo</t>
        </is>
      </c>
      <c r="F14" s="48" t="inlineStr">
        <is>
          <t>Sin block() en WebFlux | No hay block() en código productivo.</t>
        </is>
      </c>
      <c r="G14" s="48" t="inlineStr">
        <is>
          <t>—</t>
        </is>
      </c>
      <c r="H14" s="48" t="inlineStr">
        <is>
          <t>Mantener.</t>
        </is>
      </c>
    </row>
    <row r="15" ht="40" customHeight="1">
      <c r="A15" s="46" t="n">
        <v>11</v>
      </c>
      <c r="B15" s="47" t="inlineStr">
        <is>
          <t>Cubierto</t>
        </is>
      </c>
      <c r="C15" s="46" t="inlineStr">
        <is>
          <t>Config / env</t>
        </is>
      </c>
      <c r="D15" s="46" t="n">
        <v>5</v>
      </c>
      <c r="E15" s="46" t="inlineStr">
        <is>
          <t>5 · Completo</t>
        </is>
      </c>
      <c r="F15" s="48" t="inlineStr">
        <is>
          <t>Sin secretos en el repositorio | No hay secretos versionados; .env está ignorado.</t>
        </is>
      </c>
      <c r="G15" s="48" t="inlineStr">
        <is>
          <t>—</t>
        </is>
      </c>
      <c r="H15" s="48" t="inlineStr">
        <is>
          <t>Mantener.</t>
        </is>
      </c>
    </row>
    <row r="16" ht="40" customHeight="1">
      <c r="A16" s="46" t="n">
        <v>12</v>
      </c>
      <c r="B16" s="47" t="inlineStr">
        <is>
          <t>Cubierto</t>
        </is>
      </c>
      <c r="C16" s="46" t="inlineStr">
        <is>
          <t>Config / env</t>
        </is>
      </c>
      <c r="D16" s="46" t="n">
        <v>5</v>
      </c>
      <c r="E16" s="46" t="inlineStr">
        <is>
          <t>5 · Completo</t>
        </is>
      </c>
      <c r="F16" s="48" t="inlineStr">
        <is>
          <t>.env.example sin valores reales | .env.example solo trae nombres y valores de ejemplo.</t>
        </is>
      </c>
      <c r="G16" s="49" t="inlineStr">
        <is>
          <t>.env.example</t>
        </is>
      </c>
      <c r="H16" s="48" t="inlineStr">
        <is>
          <t>Mantener.</t>
        </is>
      </c>
    </row>
    <row r="17" ht="40" customHeight="1">
      <c r="A17" s="46" t="n">
        <v>13</v>
      </c>
      <c r="B17" s="47" t="inlineStr">
        <is>
          <t>Cubierto</t>
        </is>
      </c>
      <c r="C17" s="46" t="inlineStr">
        <is>
          <t>Config / env</t>
        </is>
      </c>
      <c r="D17" s="46" t="n">
        <v>5</v>
      </c>
      <c r="E17" s="46" t="inlineStr">
        <is>
          <t>5 · Completo</t>
        </is>
      </c>
      <c r="F17" s="48" t="inlineStr">
        <is>
          <t>Configuración por perfiles dev y prod | application-dev.yml y application-prod.yml.</t>
        </is>
      </c>
      <c r="G17" s="48" t="inlineStr">
        <is>
          <t>—</t>
        </is>
      </c>
      <c r="H17" s="48" t="inlineStr">
        <is>
          <t>Mantener.</t>
        </is>
      </c>
    </row>
    <row r="18" ht="40" customHeight="1">
      <c r="A18" s="46" t="n">
        <v>14</v>
      </c>
      <c r="B18" s="47" t="inlineStr">
        <is>
          <t>Cubierto</t>
        </is>
      </c>
      <c r="C18" s="46" t="inlineStr">
        <is>
          <t>DDD</t>
        </is>
      </c>
      <c r="D18" s="46" t="n">
        <v>5</v>
      </c>
      <c r="E18" s="46" t="inlineStr">
        <is>
          <t>5 · Completo</t>
        </is>
      </c>
      <c r="F18" s="48" t="inlineStr">
        <is>
          <t>Dominio sin anotaciones de framework, WebClient ni SDKs | domain/ no importa Spring, persistencia ni HTTP.</t>
        </is>
      </c>
      <c r="G18" s="48" t="inlineStr">
        <is>
          <t>—</t>
        </is>
      </c>
      <c r="H18" s="48" t="inlineStr">
        <is>
          <t>Mantener.</t>
        </is>
      </c>
    </row>
    <row r="19" ht="40" customHeight="1">
      <c r="A19" s="46" t="n">
        <v>15</v>
      </c>
      <c r="B19" s="47" t="inlineStr">
        <is>
          <t>Cubierto</t>
        </is>
      </c>
      <c r="C19" s="46" t="inlineStr">
        <is>
          <t>DDD</t>
        </is>
      </c>
      <c r="D19" s="46" t="n">
        <v>5</v>
      </c>
      <c r="E19" s="46" t="inlineStr">
        <is>
          <t>5 · Completo</t>
        </is>
      </c>
      <c r="F19" s="48" t="inlineStr">
        <is>
          <t>Reglas de negocio fuera de *Rest | Los *Rest delegan en casos de uso; no tocan repositorios.</t>
        </is>
      </c>
      <c r="G19" s="48" t="inlineStr">
        <is>
          <t>—</t>
        </is>
      </c>
      <c r="H19" s="48" t="inlineStr">
        <is>
          <t>Mantener.</t>
        </is>
      </c>
    </row>
    <row r="20" ht="40" customHeight="1">
      <c r="A20" s="46" t="n">
        <v>16</v>
      </c>
      <c r="B20" s="47" t="inlineStr">
        <is>
          <t>Cubierto</t>
        </is>
      </c>
      <c r="C20" s="46" t="inlineStr">
        <is>
          <t>DDD</t>
        </is>
      </c>
      <c r="D20" s="46" t="n">
        <v>5</v>
      </c>
      <c r="E20" s="46" t="inlineStr">
        <is>
          <t>5 · Completo</t>
        </is>
      </c>
      <c r="F20" s="48" t="inlineStr">
        <is>
          <t>Lenguaje ubicuo: un concepto, un nombre | Los conceptos del dominio tienen un solo nombre en inglés.</t>
        </is>
      </c>
      <c r="G20" s="48" t="inlineStr">
        <is>
          <t>—</t>
        </is>
      </c>
      <c r="H20" s="48" t="inlineStr">
        <is>
          <t>Mantener.</t>
        </is>
      </c>
    </row>
    <row r="21" ht="40" customHeight="1">
      <c r="A21" s="46" t="n">
        <v>17</v>
      </c>
      <c r="B21" s="47" t="inlineStr">
        <is>
          <t>Cubierto</t>
        </is>
      </c>
      <c r="C21" s="46" t="inlineStr">
        <is>
          <t>DDD</t>
        </is>
      </c>
      <c r="D21" s="46" t="n">
        <v>5</v>
      </c>
      <c r="E21" s="46" t="inlineStr">
        <is>
          <t>5 · Completo</t>
        </is>
      </c>
      <c r="F21" s="48" t="inlineStr">
        <is>
          <t>Sin God Service | El servicio más grande es CelebrationService con 159 líneas; el límite es 400.</t>
        </is>
      </c>
      <c r="G21" s="49" t="inlineStr">
        <is>
          <t>src/main/java/pe/edu/vallegrande/fideinexus/celebration/application/usecase/CelebrationService.java</t>
        </is>
      </c>
      <c r="H21" s="48" t="inlineStr">
        <is>
          <t>Mantener.</t>
        </is>
      </c>
    </row>
    <row r="22" ht="40" customHeight="1">
      <c r="A22" s="46" t="n">
        <v>18</v>
      </c>
      <c r="B22" s="47" t="inlineStr">
        <is>
          <t>Cubierto</t>
        </is>
      </c>
      <c r="C22" s="46" t="inlineStr">
        <is>
          <t>Docker + README</t>
        </is>
      </c>
      <c r="D22" s="46" t="n">
        <v>5</v>
      </c>
      <c r="E22" s="46" t="inlineStr">
        <is>
          <t>5 · Completo</t>
        </is>
      </c>
      <c r="F22" s="48" t="inlineStr">
        <is>
          <t>Dockerfile | Dockerfile multi-etapa.</t>
        </is>
      </c>
      <c r="G22" s="49" t="inlineStr">
        <is>
          <t>Dockerfile</t>
        </is>
      </c>
      <c r="H22" s="48" t="inlineStr">
        <is>
          <t>Mantener.</t>
        </is>
      </c>
    </row>
    <row r="23" ht="40" customHeight="1">
      <c r="A23" s="46" t="n">
        <v>19</v>
      </c>
      <c r="B23" s="47" t="inlineStr">
        <is>
          <t>Cubierto</t>
        </is>
      </c>
      <c r="C23" s="46" t="inlineStr">
        <is>
          <t>Docker + README</t>
        </is>
      </c>
      <c r="D23" s="46" t="n">
        <v>5</v>
      </c>
      <c r="E23" s="46" t="inlineStr">
        <is>
          <t>5 · Completo</t>
        </is>
      </c>
      <c r="F23" s="48" t="inlineStr">
        <is>
          <t>README con propósito, puerto, path, stack, env, arranque y dependencias | Cubre 7 de 7: propósito, puerto, ruta, stack, variables, arranque, dependencias.</t>
        </is>
      </c>
      <c r="G23" s="49" t="inlineStr">
        <is>
          <t>README.md</t>
        </is>
      </c>
      <c r="H23" s="48" t="inlineStr">
        <is>
          <t>Mantener.</t>
        </is>
      </c>
    </row>
    <row r="24" ht="40" customHeight="1">
      <c r="A24" s="46" t="n">
        <v>20</v>
      </c>
      <c r="B24" s="47" t="inlineStr">
        <is>
          <t>Cubierto</t>
        </is>
      </c>
      <c r="C24" s="46" t="inlineStr">
        <is>
          <t>Errores y logs</t>
        </is>
      </c>
      <c r="D24" s="46" t="n">
        <v>5</v>
      </c>
      <c r="E24" s="46" t="inlineStr">
        <is>
          <t>5 · Completo</t>
        </is>
      </c>
      <c r="F24" s="48" t="inlineStr">
        <is>
          <t>Logs sin tokens, passwords ni secretos | Los logs no imprimen tokens ni claves.</t>
        </is>
      </c>
      <c r="G24" s="48" t="inlineStr">
        <is>
          <t>—</t>
        </is>
      </c>
      <c r="H24" s="48" t="inlineStr">
        <is>
          <t>Mantener.</t>
        </is>
      </c>
    </row>
    <row r="25" ht="40" customHeight="1">
      <c r="A25" s="46" t="n">
        <v>21</v>
      </c>
      <c r="B25" s="47" t="inlineStr">
        <is>
          <t>Cubierto</t>
        </is>
      </c>
      <c r="C25" s="46" t="inlineStr">
        <is>
          <t>Errores y logs</t>
        </is>
      </c>
      <c r="D25" s="46" t="n">
        <v>5</v>
      </c>
      <c r="E25" s="46" t="inlineStr">
        <is>
          <t>5 · Completo</t>
        </is>
      </c>
      <c r="F25" s="48" t="inlineStr">
        <is>
          <t>Errores sin trazas internas | El manejador responde mensajes propios sin traza.</t>
        </is>
      </c>
      <c r="G25" s="48" t="inlineStr">
        <is>
          <t>—</t>
        </is>
      </c>
      <c r="H25" s="48" t="inlineStr">
        <is>
          <t>Mantener.</t>
        </is>
      </c>
    </row>
    <row r="26" ht="40" customHeight="1">
      <c r="A26" s="46" t="n">
        <v>22</v>
      </c>
      <c r="B26" s="47" t="inlineStr">
        <is>
          <t>Cubierto</t>
        </is>
      </c>
      <c r="C26" s="46" t="inlineStr">
        <is>
          <t>Estructura</t>
        </is>
      </c>
      <c r="D26" s="46" t="n">
        <v>5</v>
      </c>
      <c r="E26" s="46" t="inlineStr">
        <is>
          <t>5 · Completo</t>
        </is>
      </c>
      <c r="F26" s="48" t="inlineStr">
        <is>
          <t>Nombre vg-ms-{contexto} | El repositorio se llama vg-ms-celebration.</t>
        </is>
      </c>
      <c r="G26" s="49" t="inlineStr">
        <is>
          <t>vg-ms-celebration</t>
        </is>
      </c>
      <c r="H26" s="48" t="inlineStr">
        <is>
          <t>Mantener.</t>
        </is>
      </c>
    </row>
    <row r="27" ht="40" customHeight="1">
      <c r="A27" s="46" t="n">
        <v>23</v>
      </c>
      <c r="B27" s="47" t="inlineStr">
        <is>
          <t>Cubierto</t>
        </is>
      </c>
      <c r="C27" s="46" t="inlineStr">
        <is>
          <t>Estructura</t>
        </is>
      </c>
      <c r="D27" s="46" t="n">
        <v>5</v>
      </c>
      <c r="E27" s="46" t="inlineStr">
        <is>
          <t>5 · Completo</t>
        </is>
      </c>
      <c r="F27" s="48" t="inlineStr">
        <is>
          <t>Package base único en minúsculas | Package base: pe.edu.vallegrande.fideinexus.celebration.</t>
        </is>
      </c>
      <c r="G27" s="48" t="inlineStr">
        <is>
          <t>—</t>
        </is>
      </c>
      <c r="H27" s="48" t="inlineStr">
        <is>
          <t>Mantener.</t>
        </is>
      </c>
    </row>
    <row r="28" ht="40" customHeight="1">
      <c r="A28" s="46" t="n">
        <v>24</v>
      </c>
      <c r="B28" s="47" t="inlineStr">
        <is>
          <t>Cubierto</t>
        </is>
      </c>
      <c r="C28" s="46" t="inlineStr">
        <is>
          <t>Estructura</t>
        </is>
      </c>
      <c r="D28" s="46" t="n">
        <v>5</v>
      </c>
      <c r="E28" s="46" t="inlineStr">
        <is>
          <t>5 · Completo</t>
        </is>
      </c>
      <c r="F28" s="48" t="inlineStr">
        <is>
          <t>Un contexto de negocio por microservicio | Contextos en el package: celebration.</t>
        </is>
      </c>
      <c r="G28" s="48" t="inlineStr">
        <is>
          <t>—</t>
        </is>
      </c>
      <c r="H28" s="48" t="inlineStr">
        <is>
          <t>Mantener.</t>
        </is>
      </c>
    </row>
    <row r="29" ht="40" customHeight="1">
      <c r="A29" s="46" t="n">
        <v>25</v>
      </c>
      <c r="B29" s="47" t="inlineStr">
        <is>
          <t>Cubierto</t>
        </is>
      </c>
      <c r="C29" s="46" t="inlineStr">
        <is>
          <t>Estructura</t>
        </is>
      </c>
      <c r="D29" s="46" t="n">
        <v>5</v>
      </c>
      <c r="E29" s="46" t="inlineStr">
        <is>
          <t>5 · Completo</t>
        </is>
      </c>
      <c r="F29" s="48" t="inlineStr">
        <is>
          <t>Capas domain/application/infrastructure | El código está organizado en domain, application e infrastructure.</t>
        </is>
      </c>
      <c r="G29" s="48" t="inlineStr">
        <is>
          <t>—</t>
        </is>
      </c>
      <c r="H29" s="48" t="inlineStr">
        <is>
          <t>Mantener.</t>
        </is>
      </c>
    </row>
    <row r="30" ht="40" customHeight="1">
      <c r="A30" s="46" t="n">
        <v>26</v>
      </c>
      <c r="B30" s="47" t="inlineStr">
        <is>
          <t>Cubierto</t>
        </is>
      </c>
      <c r="C30" s="46" t="inlineStr">
        <is>
          <t>Estructura</t>
        </is>
      </c>
      <c r="D30" s="46" t="n">
        <v>5</v>
      </c>
      <c r="E30" s="46" t="inlineStr">
        <is>
          <t>5 · Completo</t>
        </is>
      </c>
      <c r="F30" s="48" t="inlineStr">
        <is>
          <t>Entidades y agregados en domain/model | Modelos en domain/model.</t>
        </is>
      </c>
      <c r="G30" s="48" t="inlineStr">
        <is>
          <t>—</t>
        </is>
      </c>
      <c r="H30" s="48" t="inlineStr">
        <is>
          <t>Mantener.</t>
        </is>
      </c>
    </row>
    <row r="31" ht="40" customHeight="1">
      <c r="A31" s="46" t="n">
        <v>27</v>
      </c>
      <c r="B31" s="47" t="inlineStr">
        <is>
          <t>Cubierto</t>
        </is>
      </c>
      <c r="C31" s="46" t="inlineStr">
        <is>
          <t>Estructura</t>
        </is>
      </c>
      <c r="D31" s="46" t="n">
        <v>5</v>
      </c>
      <c r="E31" s="46" t="inlineStr">
        <is>
          <t>5 · Completo</t>
        </is>
      </c>
      <c r="F31" s="48" t="inlineStr">
        <is>
          <t>Value objects y enums en domain/vo | Se aplica la ubicación domain/vo definida por ProjectArchitecture, que prevalece sobre esta guía: Se usan domain/model y domain/vo de ProjectArchitecture hexagonal, que manda sobre esta guía; la guía pide domain/models y domain/enums.</t>
        </is>
      </c>
      <c r="G31" s="48" t="inlineStr">
        <is>
          <t>—</t>
        </is>
      </c>
      <c r="H31" s="48" t="inlineStr">
        <is>
          <t>Mantener la estructura hexagonal acordada.</t>
        </is>
      </c>
    </row>
    <row r="32" ht="40" customHeight="1">
      <c r="A32" s="46" t="n">
        <v>28</v>
      </c>
      <c r="B32" s="47" t="inlineStr">
        <is>
          <t>Cubierto</t>
        </is>
      </c>
      <c r="C32" s="46" t="inlineStr">
        <is>
          <t>Estructura</t>
        </is>
      </c>
      <c r="D32" s="46" t="n">
        <v>5</v>
      </c>
      <c r="E32" s="46" t="inlineStr">
        <is>
          <t>5 · Completo</t>
        </is>
      </c>
      <c r="F32" s="48" t="inlineStr">
        <is>
          <t>Puertos, casos de uso y controllers en sus adaptadores | Puertos, casos de uso y controllers siguen la estructura hexagonal.</t>
        </is>
      </c>
      <c r="G32" s="48" t="inlineStr">
        <is>
          <t>—</t>
        </is>
      </c>
      <c r="H32" s="48" t="inlineStr">
        <is>
          <t>Mantener.</t>
        </is>
      </c>
    </row>
    <row r="33" ht="40" customHeight="1">
      <c r="A33" s="46" t="n">
        <v>29</v>
      </c>
      <c r="B33" s="47" t="inlineStr">
        <is>
          <t>Cubierto</t>
        </is>
      </c>
      <c r="C33" s="46" t="inlineStr">
        <is>
          <t>Gateway</t>
        </is>
      </c>
      <c r="D33" s="46" t="n">
        <v>5</v>
      </c>
      <c r="E33" s="46" t="inlineStr">
        <is>
          <t>5 · Completo</t>
        </is>
      </c>
      <c r="F33" s="48" t="inlineStr">
        <is>
          <t>Compatible con la identidad que reenvía el gateway | Valida el mismo JWT que reenvía el gateway en Authorization.</t>
        </is>
      </c>
      <c r="G33" s="48" t="inlineStr">
        <is>
          <t>—</t>
        </is>
      </c>
      <c r="H33" s="48" t="inlineStr">
        <is>
          <t>Mantener.</t>
        </is>
      </c>
    </row>
    <row r="34" ht="40" customHeight="1">
      <c r="A34" s="46" t="n">
        <v>30</v>
      </c>
      <c r="B34" s="47" t="inlineStr">
        <is>
          <t>Cubierto</t>
        </is>
      </c>
      <c r="C34" s="46" t="inlineStr">
        <is>
          <t>Persistencia</t>
        </is>
      </c>
      <c r="D34" s="46" t="n">
        <v>5</v>
      </c>
      <c r="E34" s="46" t="inlineStr">
        <is>
          <t>5 · Completo</t>
        </is>
      </c>
      <c r="F34" s="48" t="inlineStr">
        <is>
          <t>BD o schema propio del MS | Schema propio: src/main/resources/sql/schema.sql.</t>
        </is>
      </c>
      <c r="G34" s="49" t="inlineStr">
        <is>
          <t>src/main/resources/sql/schema.sql</t>
        </is>
      </c>
      <c r="H34" s="48" t="inlineStr">
        <is>
          <t>Mantener.</t>
        </is>
      </c>
    </row>
    <row r="35" ht="40" customHeight="1">
      <c r="A35" s="46" t="n">
        <v>31</v>
      </c>
      <c r="B35" s="47" t="inlineStr">
        <is>
          <t>Cubierto</t>
        </is>
      </c>
      <c r="C35" s="46" t="inlineStr">
        <is>
          <t>Persistencia</t>
        </is>
      </c>
      <c r="D35" s="46" t="n">
        <v>5</v>
      </c>
      <c r="E35" s="46" t="inlineStr">
        <is>
          <t>5 · Completo</t>
        </is>
      </c>
      <c r="F35" s="48" t="inlineStr">
        <is>
          <t>Motor documentado | Motor R2DBC y documentado en el README.</t>
        </is>
      </c>
      <c r="G35" s="48" t="inlineStr">
        <is>
          <t>—</t>
        </is>
      </c>
      <c r="H35" s="48" t="inlineStr">
        <is>
          <t>Mantener.</t>
        </is>
      </c>
    </row>
    <row r="36" ht="40" customHeight="1">
      <c r="A36" s="46" t="n">
        <v>32</v>
      </c>
      <c r="B36" s="47" t="inlineStr">
        <is>
          <t>Cubierto</t>
        </is>
      </c>
      <c r="C36" s="46" t="inlineStr">
        <is>
          <t>Persistencia</t>
        </is>
      </c>
      <c r="D36" s="46" t="n">
        <v>5</v>
      </c>
      <c r="E36" s="46" t="inlineStr">
        <is>
          <t>5 · Completo</t>
        </is>
      </c>
      <c r="F36" s="48" t="inlineStr">
        <is>
          <t>Credenciales solo por variables de entorno | URL, usuario y clave llegan por variables de entorno.</t>
        </is>
      </c>
      <c r="G36" s="48" t="inlineStr">
        <is>
          <t>—</t>
        </is>
      </c>
      <c r="H36" s="48" t="inlineStr">
        <is>
          <t>Mantener.</t>
        </is>
      </c>
    </row>
    <row r="37" ht="40" customHeight="1">
      <c r="A37" s="46" t="n">
        <v>33</v>
      </c>
      <c r="B37" s="47" t="inlineStr">
        <is>
          <t>Cubierto</t>
        </is>
      </c>
      <c r="C37" s="46" t="inlineStr">
        <is>
          <t>Persistencia</t>
        </is>
      </c>
      <c r="D37" s="46" t="n">
        <v>5</v>
      </c>
      <c r="E37" s="46" t="inlineStr">
        <is>
          <t>5 · Completo</t>
        </is>
      </c>
      <c r="F37" s="48" t="inlineStr">
        <is>
          <t>Soft-delete o estados documentados | Borrado lógico con estado del registro.</t>
        </is>
      </c>
      <c r="G37" s="49" t="inlineStr">
        <is>
          <t>src/main/java/pe/edu/vallegrande/fideinexus/celebration/application/usecase/CelebrationService.java:143</t>
        </is>
      </c>
      <c r="H37" s="48" t="inlineStr">
        <is>
          <t>Mantener.</t>
        </is>
      </c>
    </row>
    <row r="38" ht="40" customHeight="1">
      <c r="A38" s="46" t="n">
        <v>34</v>
      </c>
      <c r="B38" s="47" t="inlineStr">
        <is>
          <t>Cubierto</t>
        </is>
      </c>
      <c r="C38" s="46" t="inlineStr">
        <is>
          <t>Pruebas</t>
        </is>
      </c>
      <c r="D38" s="46" t="n">
        <v>5</v>
      </c>
      <c r="E38" s="46" t="inlineStr">
        <is>
          <t>5 · Completo</t>
        </is>
      </c>
      <c r="F38" s="48" t="inlineStr">
        <is>
          <t>Tests de dominio y casos de uso | 20 pruebas; capas cubiertas: domain, application.</t>
        </is>
      </c>
      <c r="G38" s="48" t="inlineStr">
        <is>
          <t>—</t>
        </is>
      </c>
      <c r="H38" s="48" t="inlineStr">
        <is>
          <t>Mantener.</t>
        </is>
      </c>
    </row>
    <row r="39" ht="40" customHeight="1">
      <c r="A39" s="46" t="n">
        <v>35</v>
      </c>
      <c r="B39" s="47" t="inlineStr">
        <is>
          <t>Cubierto</t>
        </is>
      </c>
      <c r="C39" s="46" t="inlineStr">
        <is>
          <t>Seguridad</t>
        </is>
      </c>
      <c r="D39" s="46" t="n">
        <v>5</v>
      </c>
      <c r="E39" s="46" t="inlineStr">
        <is>
          <t>5 · Completo</t>
        </is>
      </c>
      <c r="F39" s="48" t="inlineStr">
        <is>
          <t>OAuth2 Resource Server configurado por env | Resource server con issuer por variable de entorno.</t>
        </is>
      </c>
      <c r="G39" s="48" t="inlineStr">
        <is>
          <t>—</t>
        </is>
      </c>
      <c r="H39" s="48" t="inlineStr">
        <is>
          <t>Mantener.</t>
        </is>
      </c>
    </row>
    <row r="40" ht="40" customHeight="1">
      <c r="A40" s="46" t="n">
        <v>36</v>
      </c>
      <c r="B40" s="47" t="inlineStr">
        <is>
          <t>Cubierto</t>
        </is>
      </c>
      <c r="C40" s="46" t="inlineStr">
        <is>
          <t>Seguridad</t>
        </is>
      </c>
      <c r="D40" s="46" t="n">
        <v>5</v>
      </c>
      <c r="E40" s="46" t="inlineStr">
        <is>
          <t>5 · Completo</t>
        </is>
      </c>
      <c r="F40" s="48" t="inlineStr">
        <is>
          <t>Autorización en operaciones sensibles | Roles exigidos en las operaciones de escritura.</t>
        </is>
      </c>
      <c r="G40" s="49" t="inlineStr">
        <is>
          <t>src/main/java/pe/edu/vallegrande/fideinexus/celebration/infrastructure/adapter/in/rest/controller/CelebrationRest.java:69</t>
        </is>
      </c>
      <c r="H40" s="48" t="inlineStr">
        <is>
          <t>Mantener.</t>
        </is>
      </c>
    </row>
    <row r="41" ht="40" customHeight="1">
      <c r="A41" s="46" t="n">
        <v>37</v>
      </c>
      <c r="B41" s="47" t="inlineStr">
        <is>
          <t>Cubierto</t>
        </is>
      </c>
      <c r="C41" s="46" t="inlineStr">
        <is>
          <t>Seguridad</t>
        </is>
      </c>
      <c r="D41" s="46" t="n">
        <v>5</v>
      </c>
      <c r="E41" s="46" t="inlineStr">
        <is>
          <t>5 · Completo</t>
        </is>
      </c>
      <c r="F41" s="48" t="inlineStr">
        <is>
          <t>Roles en constantes | Catálogo de roles en KeycloakRoleConverter.</t>
        </is>
      </c>
      <c r="G41" s="49" t="inlineStr">
        <is>
          <t>src/main/java/pe/edu/vallegrande/fideinexus/celebration/infrastructure/security/KeycloakRoleConverter.java</t>
        </is>
      </c>
      <c r="H41" s="48" t="inlineStr">
        <is>
          <t>Mantener.</t>
        </is>
      </c>
    </row>
    <row r="42" ht="40" customHeight="1">
      <c r="A42" s="46" t="n">
        <v>38</v>
      </c>
      <c r="B42" s="47" t="inlineStr">
        <is>
          <t>Cubierto</t>
        </is>
      </c>
      <c r="C42" s="46" t="inlineStr">
        <is>
          <t>Seguridad</t>
        </is>
      </c>
      <c r="D42" s="46" t="n">
        <v>5</v>
      </c>
      <c r="E42" s="46" t="inlineStr">
        <is>
          <t>5 · Completo</t>
        </is>
      </c>
      <c r="F42" s="48" t="inlineStr">
        <is>
          <t>No confía identidad ni roles del body | La identidad y el tenant salen del token, no del body.</t>
        </is>
      </c>
      <c r="G42" s="48" t="inlineStr">
        <is>
          <t>—</t>
        </is>
      </c>
      <c r="H42" s="48" t="inlineStr">
        <is>
          <t>Mantener.</t>
        </is>
      </c>
    </row>
    <row r="43" ht="40" customHeight="1">
      <c r="A43" s="50" t="n">
        <v>39</v>
      </c>
      <c r="B43" s="51" t="inlineStr">
        <is>
          <t>n/a</t>
        </is>
      </c>
      <c r="C43" s="50" t="inlineStr">
        <is>
          <t>Archivos</t>
        </is>
      </c>
      <c r="D43" s="50" t="inlineStr">
        <is>
          <t>n/a</t>
        </is>
      </c>
      <c r="E43" s="50" t="inlineStr">
        <is>
          <t>n/a</t>
        </is>
      </c>
      <c r="F43" s="52" t="inlineStr">
        <is>
          <t>Solo metadata del archivo en BD | El servicio no recibe archivos.</t>
        </is>
      </c>
      <c r="G43" s="52" t="inlineStr">
        <is>
          <t>—</t>
        </is>
      </c>
      <c r="H43" s="52" t="inlineStr">
        <is>
          <t>Mantener.</t>
        </is>
      </c>
    </row>
    <row r="44" ht="40" customHeight="1">
      <c r="A44" s="50" t="n">
        <v>40</v>
      </c>
      <c r="B44" s="51" t="inlineStr">
        <is>
          <t>n/a</t>
        </is>
      </c>
      <c r="C44" s="50" t="inlineStr">
        <is>
          <t>Comms entre MS</t>
        </is>
      </c>
      <c r="D44" s="50" t="inlineStr">
        <is>
          <t>n/a</t>
        </is>
      </c>
      <c r="E44" s="50" t="inlineStr">
        <is>
          <t>n/a</t>
        </is>
      </c>
      <c r="F44" s="52" t="inlineStr">
        <is>
          <t>Propaga identidad en llamadas salientes | No llama a otros microservicios.</t>
        </is>
      </c>
      <c r="G44" s="52" t="inlineStr">
        <is>
          <t>—</t>
        </is>
      </c>
      <c r="H44" s="52" t="inlineStr">
        <is>
          <t>Mantener.</t>
        </is>
      </c>
    </row>
    <row r="45" ht="40" customHeight="1">
      <c r="A45" s="50" t="n">
        <v>41</v>
      </c>
      <c r="B45" s="51" t="inlineStr">
        <is>
          <t>n/a</t>
        </is>
      </c>
      <c r="C45" s="50" t="inlineStr">
        <is>
          <t>Comms entre MS</t>
        </is>
      </c>
      <c r="D45" s="50" t="inlineStr">
        <is>
          <t>n/a</t>
        </is>
      </c>
      <c r="E45" s="50" t="inlineStr">
        <is>
          <t>n/a</t>
        </is>
      </c>
      <c r="F45" s="52" t="inlineStr">
        <is>
          <t>WebClient tipado y URLs por configuración | No llama a otros microservicios.</t>
        </is>
      </c>
      <c r="G45" s="52" t="inlineStr">
        <is>
          <t>—</t>
        </is>
      </c>
      <c r="H45" s="52" t="inlineStr">
        <is>
          <t>Mantener.</t>
        </is>
      </c>
    </row>
  </sheetData>
  <autoFilter ref="A4:H45"/>
  <mergeCells count="2">
    <mergeCell ref="A2:H2"/>
    <mergeCell ref="A1:H1"/>
  </mergeCells>
  <hyperlinks>
    <hyperlink xmlns:r="http://schemas.openxmlformats.org/officeDocument/2006/relationships" ref="G5" r:id="rId1"/>
    <hyperlink xmlns:r="http://schemas.openxmlformats.org/officeDocument/2006/relationships" ref="G9" r:id="rId2"/>
    <hyperlink xmlns:r="http://schemas.openxmlformats.org/officeDocument/2006/relationships" ref="G16" r:id="rId3"/>
    <hyperlink xmlns:r="http://schemas.openxmlformats.org/officeDocument/2006/relationships" ref="G21" r:id="rId4"/>
    <hyperlink xmlns:r="http://schemas.openxmlformats.org/officeDocument/2006/relationships" ref="G22" r:id="rId5"/>
    <hyperlink xmlns:r="http://schemas.openxmlformats.org/officeDocument/2006/relationships" ref="G23" r:id="rId6"/>
    <hyperlink xmlns:r="http://schemas.openxmlformats.org/officeDocument/2006/relationships" ref="G26" r:id="rId7"/>
    <hyperlink xmlns:r="http://schemas.openxmlformats.org/officeDocument/2006/relationships" ref="G34" r:id="rId8"/>
    <hyperlink xmlns:r="http://schemas.openxmlformats.org/officeDocument/2006/relationships" ref="G37" r:id="rId9"/>
    <hyperlink xmlns:r="http://schemas.openxmlformats.org/officeDocument/2006/relationships" ref="G40" r:id="rId10"/>
    <hyperlink xmlns:r="http://schemas.openxmlformats.org/officeDocument/2006/relationships" ref="G41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No hecho  ·  vg-ms-celebration</t>
        </is>
      </c>
    </row>
    <row r="2">
      <c r="A2" s="31" t="inlineStr">
        <is>
          <t>Lo que falta o rompe el estándar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Mejorar  ·  vg-ms-celebration</t>
        </is>
      </c>
    </row>
    <row r="2">
      <c r="A2" s="31" t="inlineStr">
        <is>
          <t>Hay avance, pero todavía no cierra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Cubierto  ·  vg-ms-celebration</t>
        </is>
      </c>
    </row>
    <row r="2">
      <c r="A2" s="31" t="inlineStr">
        <is>
          <t>Ya está alineado; mantenerlo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40" customHeight="1">
      <c r="A5" s="47" t="inlineStr">
        <is>
          <t>API REST</t>
        </is>
      </c>
      <c r="B5" s="47" t="n">
        <v>5</v>
      </c>
      <c r="C5" s="46" t="inlineStr">
        <is>
          <t>5 · Completo</t>
        </is>
      </c>
      <c r="D5" s="46" t="inlineStr">
        <is>
          <t>Rutas bajo /api/v1/{recurso} | Base: /api/v1/certificates.</t>
        </is>
      </c>
      <c r="E5" s="53" t="inlineStr">
        <is>
          <t>src/main/java/pe/edu/vallegrande/fideinexus/celebration/infrastructure/adapter/out/client/certificate/CertificateClientAdapter.java:31</t>
        </is>
      </c>
      <c r="F5" s="48" t="inlineStr">
        <is>
          <t>Mantener.</t>
        </is>
      </c>
    </row>
    <row r="6" ht="40" customHeight="1">
      <c r="A6" s="47" t="inlineStr">
        <is>
          <t>API REST</t>
        </is>
      </c>
      <c r="B6" s="47" t="n">
        <v>5</v>
      </c>
      <c r="C6" s="46" t="inlineStr">
        <is>
          <t>5 · Completo</t>
        </is>
      </c>
      <c r="D6" s="46" t="inlineStr">
        <is>
          <t>Recursos en plural y kebab-case | Recursos: certificates, preparations, service-participants, service-types, services.</t>
        </is>
      </c>
      <c r="E6" s="46" t="inlineStr">
        <is>
          <t>—</t>
        </is>
      </c>
      <c r="F6" s="48" t="inlineStr">
        <is>
          <t>Mantener.</t>
        </is>
      </c>
    </row>
    <row r="7" ht="40" customHeight="1">
      <c r="A7" s="47" t="inlineStr">
        <is>
          <t>API REST</t>
        </is>
      </c>
      <c r="B7" s="47" t="n">
        <v>5</v>
      </c>
      <c r="C7" s="46" t="inlineStr">
        <is>
          <t>5 · Completo</t>
        </is>
      </c>
      <c r="D7" s="46" t="inlineStr">
        <is>
          <t>DTOs *Request / *Response, sin entidades | 6 DTOs de API con sufijo de request o respuesta.</t>
        </is>
      </c>
      <c r="E7" s="46" t="inlineStr">
        <is>
          <t>—</t>
        </is>
      </c>
      <c r="F7" s="48" t="inlineStr">
        <is>
          <t>Mantener.</t>
        </is>
      </c>
    </row>
    <row r="8" ht="40" customHeight="1">
      <c r="A8" s="47" t="inlineStr">
        <is>
          <t>API REST</t>
        </is>
      </c>
      <c r="B8" s="47" t="n">
        <v>5</v>
      </c>
      <c r="C8" s="46" t="inlineStr">
        <is>
          <t>5 · Completo</t>
        </is>
      </c>
      <c r="D8" s="46" t="inlineStr">
        <is>
          <t>Códigos HTTP correctos | 422 está documentado como excepción exigida por el estándar de seguridad: Los errores de validación responden 422 porque lo exige el estándar de seguridad; esta guía y el de reportes piden 400.</t>
        </is>
      </c>
      <c r="E8" s="46" t="inlineStr">
        <is>
          <t>—</t>
        </is>
      </c>
      <c r="F8" s="48" t="inlineStr">
        <is>
          <t>Mantener 422 mientras lo exija el estándar de seguridad.</t>
        </is>
      </c>
    </row>
    <row r="9" ht="40" customHeight="1">
      <c r="A9" s="47" t="inlineStr">
        <is>
          <t>API REST</t>
        </is>
      </c>
      <c r="B9" s="47" t="n">
        <v>5</v>
      </c>
      <c r="C9" s="46" t="inlineStr">
        <is>
          <t>5 · Completo</t>
        </is>
      </c>
      <c r="D9" s="46" t="inlineStr">
        <is>
          <t>GlobalExceptionHandler con formato uniforme | Manejador global con la misma envoltura de respuesta.</t>
        </is>
      </c>
      <c r="E9" s="53" t="inlineStr">
        <is>
          <t>src/main/java/pe/edu/vallegrande/fideinexus/celebration/infrastructure/exception/GlobalExceptionHandler.java</t>
        </is>
      </c>
      <c r="F9" s="48" t="inlineStr">
        <is>
          <t>Mantener.</t>
        </is>
      </c>
    </row>
    <row r="10" ht="40" customHeight="1">
      <c r="A10" s="47" t="inlineStr">
        <is>
          <t>API REST</t>
        </is>
      </c>
      <c r="B10" s="47" t="n">
        <v>5</v>
      </c>
      <c r="C10" s="46" t="inlineStr">
        <is>
          <t>5 · Completo</t>
        </is>
      </c>
      <c r="D10" s="46" t="inlineStr">
        <is>
          <t>OpenAPI en endpoints públicos | springdoc y @Operation en los controllers.</t>
        </is>
      </c>
      <c r="E10" s="46" t="inlineStr">
        <is>
          <t>—</t>
        </is>
      </c>
      <c r="F10" s="48" t="inlineStr">
        <is>
          <t>Mantener.</t>
        </is>
      </c>
    </row>
    <row r="11" ht="40" customHeight="1">
      <c r="A11" s="47" t="inlineStr">
        <is>
          <t>Clean Code</t>
        </is>
      </c>
      <c r="B11" s="47" t="n">
        <v>5</v>
      </c>
      <c r="C11" s="46" t="inlineStr">
        <is>
          <t>5 · Completo</t>
        </is>
      </c>
      <c r="D11" s="46" t="inlineStr">
        <is>
          <t>Inyección por constructor | Inyección por constructor o inject(); sin @Autowired.</t>
        </is>
      </c>
      <c r="E11" s="46" t="inlineStr">
        <is>
          <t>—</t>
        </is>
      </c>
      <c r="F11" s="48" t="inlineStr">
        <is>
          <t>Mantener.</t>
        </is>
      </c>
    </row>
    <row r="12" ht="40" customHeight="1">
      <c r="A12" s="47" t="inlineStr">
        <is>
          <t>Clean Code</t>
        </is>
      </c>
      <c r="B12" s="47" t="n">
        <v>5</v>
      </c>
      <c r="C12" s="46" t="inlineStr">
        <is>
          <t>5 · Completo</t>
        </is>
      </c>
      <c r="D12" s="46" t="inlineStr">
        <is>
          <t>Sin literales mágicos de negocio | Estados y roles vienen de enums y constantes.</t>
        </is>
      </c>
      <c r="E12" s="46" t="inlineStr">
        <is>
          <t>—</t>
        </is>
      </c>
      <c r="F12" s="48" t="inlineStr">
        <is>
          <t>Mantener.</t>
        </is>
      </c>
    </row>
    <row r="13" ht="40" customHeight="1">
      <c r="A13" s="47" t="inlineStr">
        <is>
          <t>Clean Code</t>
        </is>
      </c>
      <c r="B13" s="47" t="n">
        <v>5</v>
      </c>
      <c r="C13" s="46" t="inlineStr">
        <is>
          <t>5 · Completo</t>
        </is>
      </c>
      <c r="D13" s="46" t="inlineStr">
        <is>
          <t>@Valid en el borde de entrada | Todo @RequestBody lleva @Valid.</t>
        </is>
      </c>
      <c r="E13" s="46" t="inlineStr">
        <is>
          <t>—</t>
        </is>
      </c>
      <c r="F13" s="48" t="inlineStr">
        <is>
          <t>Mantener.</t>
        </is>
      </c>
    </row>
    <row r="14" ht="40" customHeight="1">
      <c r="A14" s="47" t="inlineStr">
        <is>
          <t>Clean Code</t>
        </is>
      </c>
      <c r="B14" s="47" t="n">
        <v>5</v>
      </c>
      <c r="C14" s="46" t="inlineStr">
        <is>
          <t>5 · Completo</t>
        </is>
      </c>
      <c r="D14" s="46" t="inlineStr">
        <is>
          <t>Sin block() en WebFlux | No hay block() en código productivo.</t>
        </is>
      </c>
      <c r="E14" s="46" t="inlineStr">
        <is>
          <t>—</t>
        </is>
      </c>
      <c r="F14" s="48" t="inlineStr">
        <is>
          <t>Mantener.</t>
        </is>
      </c>
    </row>
    <row r="15" ht="40" customHeight="1">
      <c r="A15" s="47" t="inlineStr">
        <is>
          <t>Config / env</t>
        </is>
      </c>
      <c r="B15" s="47" t="n">
        <v>5</v>
      </c>
      <c r="C15" s="46" t="inlineStr">
        <is>
          <t>5 · Completo</t>
        </is>
      </c>
      <c r="D15" s="46" t="inlineStr">
        <is>
          <t>Sin secretos en el repositorio | No hay secretos versionados; .env está ignorado.</t>
        </is>
      </c>
      <c r="E15" s="46" t="inlineStr">
        <is>
          <t>—</t>
        </is>
      </c>
      <c r="F15" s="48" t="inlineStr">
        <is>
          <t>Mantener.</t>
        </is>
      </c>
    </row>
    <row r="16" ht="40" customHeight="1">
      <c r="A16" s="47" t="inlineStr">
        <is>
          <t>Config / env</t>
        </is>
      </c>
      <c r="B16" s="47" t="n">
        <v>5</v>
      </c>
      <c r="C16" s="46" t="inlineStr">
        <is>
          <t>5 · Completo</t>
        </is>
      </c>
      <c r="D16" s="46" t="inlineStr">
        <is>
          <t>.env.example sin valores reales | .env.example solo trae nombres y valores de ejemplo.</t>
        </is>
      </c>
      <c r="E16" s="53" t="inlineStr">
        <is>
          <t>.env.example</t>
        </is>
      </c>
      <c r="F16" s="48" t="inlineStr">
        <is>
          <t>Mantener.</t>
        </is>
      </c>
    </row>
    <row r="17" ht="40" customHeight="1">
      <c r="A17" s="47" t="inlineStr">
        <is>
          <t>Config / env</t>
        </is>
      </c>
      <c r="B17" s="47" t="n">
        <v>5</v>
      </c>
      <c r="C17" s="46" t="inlineStr">
        <is>
          <t>5 · Completo</t>
        </is>
      </c>
      <c r="D17" s="46" t="inlineStr">
        <is>
          <t>Configuración por perfiles dev y prod | application-dev.yml y application-prod.yml.</t>
        </is>
      </c>
      <c r="E17" s="46" t="inlineStr">
        <is>
          <t>—</t>
        </is>
      </c>
      <c r="F17" s="48" t="inlineStr">
        <is>
          <t>Mantener.</t>
        </is>
      </c>
    </row>
    <row r="18" ht="40" customHeight="1">
      <c r="A18" s="47" t="inlineStr">
        <is>
          <t>DDD</t>
        </is>
      </c>
      <c r="B18" s="47" t="n">
        <v>5</v>
      </c>
      <c r="C18" s="46" t="inlineStr">
        <is>
          <t>5 · Completo</t>
        </is>
      </c>
      <c r="D18" s="46" t="inlineStr">
        <is>
          <t>Dominio sin anotaciones de framework, WebClient ni SDKs | domain/ no importa Spring, persistencia ni HTTP.</t>
        </is>
      </c>
      <c r="E18" s="46" t="inlineStr">
        <is>
          <t>—</t>
        </is>
      </c>
      <c r="F18" s="48" t="inlineStr">
        <is>
          <t>Mantener.</t>
        </is>
      </c>
    </row>
    <row r="19" ht="40" customHeight="1">
      <c r="A19" s="47" t="inlineStr">
        <is>
          <t>DDD</t>
        </is>
      </c>
      <c r="B19" s="47" t="n">
        <v>5</v>
      </c>
      <c r="C19" s="46" t="inlineStr">
        <is>
          <t>5 · Completo</t>
        </is>
      </c>
      <c r="D19" s="46" t="inlineStr">
        <is>
          <t>Reglas de negocio fuera de *Rest | Los *Rest delegan en casos de uso; no tocan repositorios.</t>
        </is>
      </c>
      <c r="E19" s="46" t="inlineStr">
        <is>
          <t>—</t>
        </is>
      </c>
      <c r="F19" s="48" t="inlineStr">
        <is>
          <t>Mantener.</t>
        </is>
      </c>
    </row>
    <row r="20" ht="40" customHeight="1">
      <c r="A20" s="47" t="inlineStr">
        <is>
          <t>DDD</t>
        </is>
      </c>
      <c r="B20" s="47" t="n">
        <v>5</v>
      </c>
      <c r="C20" s="46" t="inlineStr">
        <is>
          <t>5 · Completo</t>
        </is>
      </c>
      <c r="D20" s="46" t="inlineStr">
        <is>
          <t>Lenguaje ubicuo: un concepto, un nombre | Los conceptos del dominio tienen un solo nombre en inglés.</t>
        </is>
      </c>
      <c r="E20" s="46" t="inlineStr">
        <is>
          <t>—</t>
        </is>
      </c>
      <c r="F20" s="48" t="inlineStr">
        <is>
          <t>Mantener.</t>
        </is>
      </c>
    </row>
    <row r="21" ht="40" customHeight="1">
      <c r="A21" s="47" t="inlineStr">
        <is>
          <t>DDD</t>
        </is>
      </c>
      <c r="B21" s="47" t="n">
        <v>5</v>
      </c>
      <c r="C21" s="46" t="inlineStr">
        <is>
          <t>5 · Completo</t>
        </is>
      </c>
      <c r="D21" s="46" t="inlineStr">
        <is>
          <t>Sin God Service | El servicio más grande es CelebrationService con 159 líneas; el límite es 400.</t>
        </is>
      </c>
      <c r="E21" s="53" t="inlineStr">
        <is>
          <t>src/main/java/pe/edu/vallegrande/fideinexus/celebration/application/usecase/CelebrationService.java</t>
        </is>
      </c>
      <c r="F21" s="48" t="inlineStr">
        <is>
          <t>Mantener.</t>
        </is>
      </c>
    </row>
    <row r="22" ht="40" customHeight="1">
      <c r="A22" s="47" t="inlineStr">
        <is>
          <t>Docker + README</t>
        </is>
      </c>
      <c r="B22" s="47" t="n">
        <v>5</v>
      </c>
      <c r="C22" s="46" t="inlineStr">
        <is>
          <t>5 · Completo</t>
        </is>
      </c>
      <c r="D22" s="46" t="inlineStr">
        <is>
          <t>Dockerfile | Dockerfile multi-etapa.</t>
        </is>
      </c>
      <c r="E22" s="53" t="inlineStr">
        <is>
          <t>Dockerfile</t>
        </is>
      </c>
      <c r="F22" s="48" t="inlineStr">
        <is>
          <t>Mantener.</t>
        </is>
      </c>
    </row>
    <row r="23" ht="40" customHeight="1">
      <c r="A23" s="47" t="inlineStr">
        <is>
          <t>Docker + README</t>
        </is>
      </c>
      <c r="B23" s="47" t="n">
        <v>5</v>
      </c>
      <c r="C23" s="46" t="inlineStr">
        <is>
          <t>5 · Completo</t>
        </is>
      </c>
      <c r="D23" s="46" t="inlineStr">
        <is>
          <t>README con propósito, puerto, path, stack, env, arranque y dependencias | Cubre 7 de 7: propósito, puerto, ruta, stack, variables, arranque, dependencias.</t>
        </is>
      </c>
      <c r="E23" s="53" t="inlineStr">
        <is>
          <t>README.md</t>
        </is>
      </c>
      <c r="F23" s="48" t="inlineStr">
        <is>
          <t>Mantener.</t>
        </is>
      </c>
    </row>
    <row r="24" ht="40" customHeight="1">
      <c r="A24" s="47" t="inlineStr">
        <is>
          <t>Errores y logs</t>
        </is>
      </c>
      <c r="B24" s="47" t="n">
        <v>5</v>
      </c>
      <c r="C24" s="46" t="inlineStr">
        <is>
          <t>5 · Completo</t>
        </is>
      </c>
      <c r="D24" s="46" t="inlineStr">
        <is>
          <t>Logs sin tokens, passwords ni secretos | Los logs no imprimen tokens ni claves.</t>
        </is>
      </c>
      <c r="E24" s="46" t="inlineStr">
        <is>
          <t>—</t>
        </is>
      </c>
      <c r="F24" s="48" t="inlineStr">
        <is>
          <t>Mantener.</t>
        </is>
      </c>
    </row>
    <row r="25" ht="40" customHeight="1">
      <c r="A25" s="47" t="inlineStr">
        <is>
          <t>Errores y logs</t>
        </is>
      </c>
      <c r="B25" s="47" t="n">
        <v>5</v>
      </c>
      <c r="C25" s="46" t="inlineStr">
        <is>
          <t>5 · Completo</t>
        </is>
      </c>
      <c r="D25" s="46" t="inlineStr">
        <is>
          <t>Errores sin trazas internas | El manejador responde mensajes propios sin traza.</t>
        </is>
      </c>
      <c r="E25" s="46" t="inlineStr">
        <is>
          <t>—</t>
        </is>
      </c>
      <c r="F25" s="48" t="inlineStr">
        <is>
          <t>Mantener.</t>
        </is>
      </c>
    </row>
    <row r="26" ht="40" customHeight="1">
      <c r="A26" s="47" t="inlineStr">
        <is>
          <t>Estructura</t>
        </is>
      </c>
      <c r="B26" s="47" t="n">
        <v>5</v>
      </c>
      <c r="C26" s="46" t="inlineStr">
        <is>
          <t>5 · Completo</t>
        </is>
      </c>
      <c r="D26" s="46" t="inlineStr">
        <is>
          <t>Nombre vg-ms-{contexto} | El repositorio se llama vg-ms-celebration.</t>
        </is>
      </c>
      <c r="E26" s="53" t="inlineStr">
        <is>
          <t>vg-ms-celebration</t>
        </is>
      </c>
      <c r="F26" s="48" t="inlineStr">
        <is>
          <t>Mantener.</t>
        </is>
      </c>
    </row>
    <row r="27" ht="40" customHeight="1">
      <c r="A27" s="47" t="inlineStr">
        <is>
          <t>Estructura</t>
        </is>
      </c>
      <c r="B27" s="47" t="n">
        <v>5</v>
      </c>
      <c r="C27" s="46" t="inlineStr">
        <is>
          <t>5 · Completo</t>
        </is>
      </c>
      <c r="D27" s="46" t="inlineStr">
        <is>
          <t>Package base único en minúsculas | Package base: pe.edu.vallegrande.fideinexus.celebration.</t>
        </is>
      </c>
      <c r="E27" s="46" t="inlineStr">
        <is>
          <t>—</t>
        </is>
      </c>
      <c r="F27" s="48" t="inlineStr">
        <is>
          <t>Mantener.</t>
        </is>
      </c>
    </row>
    <row r="28" ht="40" customHeight="1">
      <c r="A28" s="47" t="inlineStr">
        <is>
          <t>Estructura</t>
        </is>
      </c>
      <c r="B28" s="47" t="n">
        <v>5</v>
      </c>
      <c r="C28" s="46" t="inlineStr">
        <is>
          <t>5 · Completo</t>
        </is>
      </c>
      <c r="D28" s="46" t="inlineStr">
        <is>
          <t>Un contexto de negocio por microservicio | Contextos en el package: celebration.</t>
        </is>
      </c>
      <c r="E28" s="46" t="inlineStr">
        <is>
          <t>—</t>
        </is>
      </c>
      <c r="F28" s="48" t="inlineStr">
        <is>
          <t>Mantener.</t>
        </is>
      </c>
    </row>
    <row r="29" ht="40" customHeight="1">
      <c r="A29" s="47" t="inlineStr">
        <is>
          <t>Estructura</t>
        </is>
      </c>
      <c r="B29" s="47" t="n">
        <v>5</v>
      </c>
      <c r="C29" s="46" t="inlineStr">
        <is>
          <t>5 · Completo</t>
        </is>
      </c>
      <c r="D29" s="46" t="inlineStr">
        <is>
          <t>Capas domain/application/infrastructure | El código está organizado en domain, application e infrastructure.</t>
        </is>
      </c>
      <c r="E29" s="46" t="inlineStr">
        <is>
          <t>—</t>
        </is>
      </c>
      <c r="F29" s="48" t="inlineStr">
        <is>
          <t>Mantener.</t>
        </is>
      </c>
    </row>
    <row r="30" ht="40" customHeight="1">
      <c r="A30" s="47" t="inlineStr">
        <is>
          <t>Estructura</t>
        </is>
      </c>
      <c r="B30" s="47" t="n">
        <v>5</v>
      </c>
      <c r="C30" s="46" t="inlineStr">
        <is>
          <t>5 · Completo</t>
        </is>
      </c>
      <c r="D30" s="46" t="inlineStr">
        <is>
          <t>Entidades y agregados en domain/model | Modelos en domain/model.</t>
        </is>
      </c>
      <c r="E30" s="46" t="inlineStr">
        <is>
          <t>—</t>
        </is>
      </c>
      <c r="F30" s="48" t="inlineStr">
        <is>
          <t>Mantener.</t>
        </is>
      </c>
    </row>
    <row r="31" ht="40" customHeight="1">
      <c r="A31" s="47" t="inlineStr">
        <is>
          <t>Estructura</t>
        </is>
      </c>
      <c r="B31" s="47" t="n">
        <v>5</v>
      </c>
      <c r="C31" s="46" t="inlineStr">
        <is>
          <t>5 · Completo</t>
        </is>
      </c>
      <c r="D31" s="46" t="inlineStr">
        <is>
          <t>Value objects y enums en domain/vo | Se aplica la ubicación domain/vo definida por ProjectArchitecture, que prevalece sobre esta guía: Se usan domain/model y domain/vo de ProjectArchitecture hexagonal, que manda sobre esta guía; la guía pide domain/models y domain/enums.</t>
        </is>
      </c>
      <c r="E31" s="46" t="inlineStr">
        <is>
          <t>—</t>
        </is>
      </c>
      <c r="F31" s="48" t="inlineStr">
        <is>
          <t>Mantener la estructura hexagonal acordada.</t>
        </is>
      </c>
    </row>
    <row r="32" ht="40" customHeight="1">
      <c r="A32" s="47" t="inlineStr">
        <is>
          <t>Estructura</t>
        </is>
      </c>
      <c r="B32" s="47" t="n">
        <v>5</v>
      </c>
      <c r="C32" s="46" t="inlineStr">
        <is>
          <t>5 · Completo</t>
        </is>
      </c>
      <c r="D32" s="46" t="inlineStr">
        <is>
          <t>Puertos, casos de uso y controllers en sus adaptadores | Puertos, casos de uso y controllers siguen la estructura hexagonal.</t>
        </is>
      </c>
      <c r="E32" s="46" t="inlineStr">
        <is>
          <t>—</t>
        </is>
      </c>
      <c r="F32" s="48" t="inlineStr">
        <is>
          <t>Mantener.</t>
        </is>
      </c>
    </row>
    <row r="33" ht="40" customHeight="1">
      <c r="A33" s="47" t="inlineStr">
        <is>
          <t>Gateway</t>
        </is>
      </c>
      <c r="B33" s="47" t="n">
        <v>5</v>
      </c>
      <c r="C33" s="46" t="inlineStr">
        <is>
          <t>5 · Completo</t>
        </is>
      </c>
      <c r="D33" s="46" t="inlineStr">
        <is>
          <t>Compatible con la identidad que reenvía el gateway | Valida el mismo JWT que reenvía el gateway en Authorization.</t>
        </is>
      </c>
      <c r="E33" s="46" t="inlineStr">
        <is>
          <t>—</t>
        </is>
      </c>
      <c r="F33" s="48" t="inlineStr">
        <is>
          <t>Mantener.</t>
        </is>
      </c>
    </row>
    <row r="34" ht="40" customHeight="1">
      <c r="A34" s="47" t="inlineStr">
        <is>
          <t>Persistencia</t>
        </is>
      </c>
      <c r="B34" s="47" t="n">
        <v>5</v>
      </c>
      <c r="C34" s="46" t="inlineStr">
        <is>
          <t>5 · Completo</t>
        </is>
      </c>
      <c r="D34" s="46" t="inlineStr">
        <is>
          <t>BD o schema propio del MS | Schema propio: src/main/resources/sql/schema.sql.</t>
        </is>
      </c>
      <c r="E34" s="53" t="inlineStr">
        <is>
          <t>src/main/resources/sql/schema.sql</t>
        </is>
      </c>
      <c r="F34" s="48" t="inlineStr">
        <is>
          <t>Mantener.</t>
        </is>
      </c>
    </row>
    <row r="35" ht="40" customHeight="1">
      <c r="A35" s="47" t="inlineStr">
        <is>
          <t>Persistencia</t>
        </is>
      </c>
      <c r="B35" s="47" t="n">
        <v>5</v>
      </c>
      <c r="C35" s="46" t="inlineStr">
        <is>
          <t>5 · Completo</t>
        </is>
      </c>
      <c r="D35" s="46" t="inlineStr">
        <is>
          <t>Motor documentado | Motor R2DBC y documentado en el README.</t>
        </is>
      </c>
      <c r="E35" s="46" t="inlineStr">
        <is>
          <t>—</t>
        </is>
      </c>
      <c r="F35" s="48" t="inlineStr">
        <is>
          <t>Mantener.</t>
        </is>
      </c>
    </row>
    <row r="36" ht="40" customHeight="1">
      <c r="A36" s="47" t="inlineStr">
        <is>
          <t>Persistencia</t>
        </is>
      </c>
      <c r="B36" s="47" t="n">
        <v>5</v>
      </c>
      <c r="C36" s="46" t="inlineStr">
        <is>
          <t>5 · Completo</t>
        </is>
      </c>
      <c r="D36" s="46" t="inlineStr">
        <is>
          <t>Credenciales solo por variables de entorno | URL, usuario y clave llegan por variables de entorno.</t>
        </is>
      </c>
      <c r="E36" s="46" t="inlineStr">
        <is>
          <t>—</t>
        </is>
      </c>
      <c r="F36" s="48" t="inlineStr">
        <is>
          <t>Mantener.</t>
        </is>
      </c>
    </row>
    <row r="37" ht="40" customHeight="1">
      <c r="A37" s="47" t="inlineStr">
        <is>
          <t>Persistencia</t>
        </is>
      </c>
      <c r="B37" s="47" t="n">
        <v>5</v>
      </c>
      <c r="C37" s="46" t="inlineStr">
        <is>
          <t>5 · Completo</t>
        </is>
      </c>
      <c r="D37" s="46" t="inlineStr">
        <is>
          <t>Soft-delete o estados documentados | Borrado lógico con estado del registro.</t>
        </is>
      </c>
      <c r="E37" s="53" t="inlineStr">
        <is>
          <t>src/main/java/pe/edu/vallegrande/fideinexus/celebration/application/usecase/CelebrationService.java:143</t>
        </is>
      </c>
      <c r="F37" s="48" t="inlineStr">
        <is>
          <t>Mantener.</t>
        </is>
      </c>
    </row>
    <row r="38" ht="40" customHeight="1">
      <c r="A38" s="47" t="inlineStr">
        <is>
          <t>Pruebas</t>
        </is>
      </c>
      <c r="B38" s="47" t="n">
        <v>5</v>
      </c>
      <c r="C38" s="46" t="inlineStr">
        <is>
          <t>5 · Completo</t>
        </is>
      </c>
      <c r="D38" s="46" t="inlineStr">
        <is>
          <t>Tests de dominio y casos de uso | 20 pruebas; capas cubiertas: domain, application.</t>
        </is>
      </c>
      <c r="E38" s="46" t="inlineStr">
        <is>
          <t>—</t>
        </is>
      </c>
      <c r="F38" s="48" t="inlineStr">
        <is>
          <t>Mantener.</t>
        </is>
      </c>
    </row>
    <row r="39" ht="40" customHeight="1">
      <c r="A39" s="47" t="inlineStr">
        <is>
          <t>Seguridad</t>
        </is>
      </c>
      <c r="B39" s="47" t="n">
        <v>5</v>
      </c>
      <c r="C39" s="46" t="inlineStr">
        <is>
          <t>5 · Completo</t>
        </is>
      </c>
      <c r="D39" s="46" t="inlineStr">
        <is>
          <t>OAuth2 Resource Server configurado por env | Resource server con issuer por variable de entorno.</t>
        </is>
      </c>
      <c r="E39" s="46" t="inlineStr">
        <is>
          <t>—</t>
        </is>
      </c>
      <c r="F39" s="48" t="inlineStr">
        <is>
          <t>Mantener.</t>
        </is>
      </c>
    </row>
    <row r="40" ht="40" customHeight="1">
      <c r="A40" s="47" t="inlineStr">
        <is>
          <t>Seguridad</t>
        </is>
      </c>
      <c r="B40" s="47" t="n">
        <v>5</v>
      </c>
      <c r="C40" s="46" t="inlineStr">
        <is>
          <t>5 · Completo</t>
        </is>
      </c>
      <c r="D40" s="46" t="inlineStr">
        <is>
          <t>Autorización en operaciones sensibles | Roles exigidos en las operaciones de escritura.</t>
        </is>
      </c>
      <c r="E40" s="53" t="inlineStr">
        <is>
          <t>src/main/java/pe/edu/vallegrande/fideinexus/celebration/infrastructure/adapter/in/rest/controller/CelebrationRest.java:69</t>
        </is>
      </c>
      <c r="F40" s="48" t="inlineStr">
        <is>
          <t>Mantener.</t>
        </is>
      </c>
    </row>
    <row r="41" ht="40" customHeight="1">
      <c r="A41" s="47" t="inlineStr">
        <is>
          <t>Seguridad</t>
        </is>
      </c>
      <c r="B41" s="47" t="n">
        <v>5</v>
      </c>
      <c r="C41" s="46" t="inlineStr">
        <is>
          <t>5 · Completo</t>
        </is>
      </c>
      <c r="D41" s="46" t="inlineStr">
        <is>
          <t>Roles en constantes | Catálogo de roles en KeycloakRoleConverter.</t>
        </is>
      </c>
      <c r="E41" s="53" t="inlineStr">
        <is>
          <t>src/main/java/pe/edu/vallegrande/fideinexus/celebration/infrastructure/security/KeycloakRoleConverter.java</t>
        </is>
      </c>
      <c r="F41" s="48" t="inlineStr">
        <is>
          <t>Mantener.</t>
        </is>
      </c>
    </row>
    <row r="42" ht="40" customHeight="1">
      <c r="A42" s="47" t="inlineStr">
        <is>
          <t>Seguridad</t>
        </is>
      </c>
      <c r="B42" s="47" t="n">
        <v>5</v>
      </c>
      <c r="C42" s="46" t="inlineStr">
        <is>
          <t>5 · Completo</t>
        </is>
      </c>
      <c r="D42" s="46" t="inlineStr">
        <is>
          <t>No confía identidad ni roles del body | La identidad y el tenant salen del token, no del body.</t>
        </is>
      </c>
      <c r="E42" s="46" t="inlineStr">
        <is>
          <t>—</t>
        </is>
      </c>
      <c r="F42" s="48" t="inlineStr">
        <is>
          <t>Mantener.</t>
        </is>
      </c>
    </row>
  </sheetData>
  <mergeCells count="2">
    <mergeCell ref="A2:F2"/>
    <mergeCell ref="A1:F1"/>
  </mergeCells>
  <hyperlinks>
    <hyperlink xmlns:r="http://schemas.openxmlformats.org/officeDocument/2006/relationships" ref="E5" r:id="rId1"/>
    <hyperlink xmlns:r="http://schemas.openxmlformats.org/officeDocument/2006/relationships" ref="E9" r:id="rId2"/>
    <hyperlink xmlns:r="http://schemas.openxmlformats.org/officeDocument/2006/relationships" ref="E16" r:id="rId3"/>
    <hyperlink xmlns:r="http://schemas.openxmlformats.org/officeDocument/2006/relationships" ref="E21" r:id="rId4"/>
    <hyperlink xmlns:r="http://schemas.openxmlformats.org/officeDocument/2006/relationships" ref="E22" r:id="rId5"/>
    <hyperlink xmlns:r="http://schemas.openxmlformats.org/officeDocument/2006/relationships" ref="E23" r:id="rId6"/>
    <hyperlink xmlns:r="http://schemas.openxmlformats.org/officeDocument/2006/relationships" ref="E26" r:id="rId7"/>
    <hyperlink xmlns:r="http://schemas.openxmlformats.org/officeDocument/2006/relationships" ref="E34" r:id="rId8"/>
    <hyperlink xmlns:r="http://schemas.openxmlformats.org/officeDocument/2006/relationships" ref="E37" r:id="rId9"/>
    <hyperlink xmlns:r="http://schemas.openxmlformats.org/officeDocument/2006/relationships" ref="E40" r:id="rId10"/>
    <hyperlink xmlns:r="http://schemas.openxmlformats.org/officeDocument/2006/relationships" ref="E41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32" t="inlineStr">
        <is>
          <t>Fila para la plantilla de métricas  ·  pégala en PRS_Metricas_Estandares_Backend.xlsx</t>
        </is>
      </c>
    </row>
    <row r="2">
      <c r="A2" s="31" t="inlineStr">
        <is>
          <t>Cada celda trae número + nombre de la nota (ej. 1 · Inicio). Usa n/a si no aplica.</t>
        </is>
      </c>
    </row>
    <row r="4">
      <c r="A4" s="13" t="inlineStr">
        <is>
          <t>Microservicio</t>
        </is>
      </c>
      <c r="B4" s="13" t="inlineStr">
        <is>
          <t>Tipo</t>
        </is>
      </c>
      <c r="C4" s="13" t="inlineStr">
        <is>
          <t>Equipo</t>
        </is>
      </c>
      <c r="D4" s="13" t="inlineStr">
        <is>
          <t>Estructura</t>
        </is>
      </c>
      <c r="E4" s="13" t="inlineStr">
        <is>
          <t>DDD</t>
        </is>
      </c>
      <c r="F4" s="13" t="inlineStr">
        <is>
          <t>Clean Code</t>
        </is>
      </c>
      <c r="G4" s="13" t="inlineStr">
        <is>
          <t>Persistencia</t>
        </is>
      </c>
      <c r="H4" s="13" t="inlineStr">
        <is>
          <t>API REST</t>
        </is>
      </c>
      <c r="I4" s="13" t="inlineStr">
        <is>
          <t>Seguridad</t>
        </is>
      </c>
      <c r="J4" s="13" t="inlineStr">
        <is>
          <t>Gateway</t>
        </is>
      </c>
      <c r="K4" s="13" t="inlineStr">
        <is>
          <t>Comms entre MS</t>
        </is>
      </c>
      <c r="L4" s="13" t="inlineStr">
        <is>
          <t>Archivos</t>
        </is>
      </c>
      <c r="M4" s="13" t="inlineStr">
        <is>
          <t>Config / env</t>
        </is>
      </c>
      <c r="N4" s="13" t="inlineStr">
        <is>
          <t>Docker + README</t>
        </is>
      </c>
      <c r="O4" s="13" t="inlineStr">
        <is>
          <t>Pruebas</t>
        </is>
      </c>
      <c r="P4" s="13" t="inlineStr">
        <is>
          <t>Errores y logs</t>
        </is>
      </c>
    </row>
    <row r="5">
      <c r="A5" s="25" t="inlineStr">
        <is>
          <t>vg-ms-celebration</t>
        </is>
      </c>
      <c r="B5" s="25" t="inlineStr">
        <is>
          <t>Dominio</t>
        </is>
      </c>
      <c r="C5" s="25" t="inlineStr">
        <is>
          <t>Agenda parroquial</t>
        </is>
      </c>
      <c r="D5" s="54" t="inlineStr">
        <is>
          <t>5 · Completo</t>
        </is>
      </c>
      <c r="E5" s="54" t="inlineStr">
        <is>
          <t>5 · Completo</t>
        </is>
      </c>
      <c r="F5" s="54" t="inlineStr">
        <is>
          <t>5 · Completo</t>
        </is>
      </c>
      <c r="G5" s="54" t="inlineStr">
        <is>
          <t>5 · Completo</t>
        </is>
      </c>
      <c r="H5" s="54" t="inlineStr">
        <is>
          <t>5 · Completo</t>
        </is>
      </c>
      <c r="I5" s="54" t="inlineStr">
        <is>
          <t>5 · Completo</t>
        </is>
      </c>
      <c r="J5" s="54" t="inlineStr">
        <is>
          <t>5 · Completo</t>
        </is>
      </c>
      <c r="K5" s="55" t="inlineStr">
        <is>
          <t>n/a</t>
        </is>
      </c>
      <c r="L5" s="55" t="inlineStr">
        <is>
          <t>n/a</t>
        </is>
      </c>
      <c r="M5" s="54" t="inlineStr">
        <is>
          <t>5 · Completo</t>
        </is>
      </c>
      <c r="N5" s="54" t="inlineStr">
        <is>
          <t>5 · Completo</t>
        </is>
      </c>
      <c r="O5" s="54" t="inlineStr">
        <is>
          <t>5 · Completo</t>
        </is>
      </c>
      <c r="P5" s="54" t="inlineStr">
        <is>
          <t>5 · Completo</t>
        </is>
      </c>
    </row>
    <row r="7">
      <c r="A7" s="33" t="inlineStr">
        <is>
          <t>Colores</t>
        </is>
      </c>
    </row>
    <row r="8">
      <c r="A8" s="34" t="inlineStr">
        <is>
          <t>Cubierto</t>
        </is>
      </c>
      <c r="B8" s="35" t="inlineStr">
        <is>
          <t>Nota 4–5</t>
        </is>
      </c>
      <c r="C8" s="36" t="inlineStr">
        <is>
          <t>Mejorar</t>
        </is>
      </c>
      <c r="D8" s="35" t="inlineStr">
        <is>
          <t>Nota 2–3</t>
        </is>
      </c>
      <c r="E8" s="37" t="inlineStr">
        <is>
          <t>No hecho</t>
        </is>
      </c>
      <c r="F8" s="35" t="inlineStr">
        <is>
          <t>Nota 0–1</t>
        </is>
      </c>
      <c r="G8" s="38" t="inlineStr">
        <is>
          <t>n/a</t>
        </is>
      </c>
      <c r="H8" s="35" t="inlineStr">
        <is>
          <t>No aplica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2026-10-08T22:39:51Z</dcterms:created>
  <dcterms:modified xsi:type="dcterms:W3CDTF">2026-10-23T16:20:28Z</dcterms:modified>
</cp:coreProperties>
</file>