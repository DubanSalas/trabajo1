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ultados" sheetId="2" state="visible" r:id="rId2"/>
    <sheet name="Pruebas y checklist" sheetId="3" state="visible" r:id="rId3"/>
    <sheet name="Referencia" sheetId="4" state="visible" r:id="rId4"/>
  </sheets>
  <definedNames>
    <definedName name="_xlnm._FilterDatabase" localSheetId="1" hidden="1">'Resultados'!$A$1:$P$133</definedName>
    <definedName name="_xlnm._FilterDatabase" localSheetId="3" hidden="1">'Referencia'!$A$26:$K$48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4"/>
    </font>
    <font>
      <name val="Arial"/>
      <i val="1"/>
      <color rgb="00595959"/>
      <sz val="10"/>
    </font>
    <font>
      <name val="Arial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1" fontId="3" fillId="0" borderId="1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3" fillId="2" borderId="1" applyAlignment="1" pivotButton="0" quotePrefix="0" xfId="0">
      <alignment horizontal="right" vertical="top"/>
    </xf>
    <xf numFmtId="164" fontId="3" fillId="2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165" fontId="4" fillId="0" borderId="1" applyAlignment="1" pivotButton="0" quotePrefix="0" xfId="0">
      <alignment horizontal="center" vertical="top"/>
    </xf>
    <xf numFmtId="0" fontId="8" fillId="4" borderId="1" applyAlignment="1" pivotButton="0" quotePrefix="0" xfId="0">
      <alignment vertical="top"/>
    </xf>
    <xf numFmtId="166" fontId="8" fillId="4" borderId="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8" fillId="4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8"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404040"/>
      </font>
      <fill>
        <patternFill patternType="solid">
          <fgColor rgb="00E7E6E6"/>
          <bgColor rgb="00E7E6E6"/>
        </patternFill>
      </fill>
    </dxf>
    <dxf>
      <font>
        <name val="Arial"/>
        <b val="1"/>
        <color rgb="001F4E78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7F7F7F"/>
      </font>
      <fill>
        <patternFill patternType="solid">
          <fgColor rgb="00F2F2F2"/>
          <bgColor rgb="00F2F2F2"/>
        </patternFill>
      </fill>
    </dxf>
    <dxf>
      <font>
        <name val="Arial"/>
        <b val="1"/>
        <color rgb="00833C0B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375623"/>
      </font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Resultados por componente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'Resumen'!C32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'Resumen'!$A$33:$A$38</f>
            </numRef>
          </cat>
          <val>
            <numRef>
              <f>'Resumen'!$C$33:$C$38</f>
            </numRef>
          </val>
        </ser>
        <ser>
          <idx val="1"/>
          <order val="1"/>
          <tx>
            <strRef>
              <f>'Resumen'!D32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'Resumen'!$A$33:$A$38</f>
            </numRef>
          </cat>
          <val>
            <numRef>
              <f>'Resumen'!$D$33:$D$38</f>
            </numRef>
          </val>
        </ser>
        <ser>
          <idx val="2"/>
          <order val="2"/>
          <tx>
            <strRef>
              <f>'Resumen'!E32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'Resumen'!$A$33:$A$38</f>
            </numRef>
          </cat>
          <val>
            <numRef>
              <f>'Resumen'!$E$33:$E$38</f>
            </numRef>
          </val>
        </ser>
        <ser>
          <idx val="3"/>
          <order val="3"/>
          <tx>
            <strRef>
              <f>'Resumen'!G32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'Resumen'!$A$33:$A$38</f>
            </numRef>
          </cat>
          <val>
            <numRef>
              <f>'Resumen'!$G$33:$G$38</f>
            </numRef>
          </val>
        </ser>
        <ser>
          <idx val="4"/>
          <order val="4"/>
          <tx>
            <strRef>
              <f>'Resumen'!H32</f>
            </strRef>
          </tx>
          <spPr>
            <a:solidFill>
              <a:srgbClr val="A6A6A6"/>
            </a:solidFill>
            <a:ln>
              <a:prstDash val="solid"/>
            </a:ln>
          </spPr>
          <cat>
            <numRef>
              <f>'Resumen'!$A$33:$A$38</f>
            </numRef>
          </cat>
          <val>
            <numRef>
              <f>'Resumen'!$H$33:$H$38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7" customWidth="1" min="9" max="9"/>
  </cols>
  <sheetData>
    <row r="1" ht="28" customHeight="1">
      <c r="A1" s="1" t="inlineStr">
        <is>
          <t>Reporte de cumplimiento — Estándar general de seguridad, autenticación y autorización</t>
        </is>
      </c>
    </row>
    <row r="2">
      <c r="A2" s="2" t="inlineStr">
        <is>
          <t>Hojas: Resultados (detalle, evidencia y seguimiento; lo abierto y más grave va primero) · Pruebas y checklist · Referencia (leyenda y reglas del estándar).</t>
        </is>
      </c>
    </row>
    <row r="3">
      <c r="A3" s="3" t="inlineStr">
        <is>
          <t>Proyecto</t>
        </is>
      </c>
      <c r="B3" s="4" t="inlineStr">
        <is>
          <t>FideiNexus - Modulo de Solicitudes</t>
        </is>
      </c>
    </row>
    <row r="4">
      <c r="A4" s="3" t="inlineStr">
        <is>
          <t>Versión del estándar</t>
        </is>
      </c>
      <c r="B4" s="4" t="inlineStr">
        <is>
          <t>1.0.0 (Propuesta para revisión)</t>
        </is>
      </c>
    </row>
    <row r="5">
      <c r="A5" s="3" t="inlineStr">
        <is>
          <t>Fecha del análisis</t>
        </is>
      </c>
      <c r="B5" s="4" t="inlineStr">
        <is>
          <t>2026-10-21</t>
        </is>
      </c>
    </row>
    <row r="6">
      <c r="A6" s="3" t="inlineStr">
        <is>
          <t>Generado por</t>
        </is>
      </c>
      <c r="B6" s="4" t="inlineStr">
        <is>
          <t>Agente de verificación del estándar</t>
        </is>
      </c>
    </row>
    <row r="7">
      <c r="A7" s="3" t="inlineStr">
        <is>
          <t>Alcance revisado</t>
        </is>
      </c>
      <c r="B7" s="4" t="inlineStr">
        <is>
          <t>4 microservicios (requests, preparation, celebration, certificate) + frontend Angular + gateway, auditados contra SEC-001..SEC-022</t>
        </is>
      </c>
    </row>
    <row r="9" ht="34" customHeight="1">
      <c r="A9" s="5" t="inlineStr">
        <is>
          <t>Veredicto automático</t>
        </is>
      </c>
      <c r="B9" s="6">
        <f>IF(COUNTIFS(Resultados!$F$2:$F$2000,"DEBE",Resultados!$H$2:$H$2000,"NO_CUMPLE")&gt;0,"NO APTO PARA APROBAR: hay incumplimientos de requisitos obligatorios (DEBE)",IF(COUNTIF(Resultados!$H$2:$H$2000,"SIN_EVALUAR")+COUNTIF(Resultados!$H$2:$H$2000,"REQUIERE_REVISION_MANUAL")+COUNTIFS(Resultados!$F$2:$F$2000,"DEBE",Resultados!$H$2:$H$2000,"PARCIAL")&gt;0,"APROBACIÓN CONDICIONADA: hay verificaciones pendientes o cumplimientos parciales en requisitos DEBE","APTO (según evidencia revisada): sin incumplimientos obligatorios ni pendientes"))</f>
        <v/>
      </c>
    </row>
    <row r="11">
      <c r="A11" s="7" t="inlineStr">
        <is>
          <t>Indicadores clave</t>
        </is>
      </c>
    </row>
    <row r="12">
      <c r="A12" s="8" t="inlineStr">
        <is>
          <t>Evaluaciones realizadas (componente × regla)</t>
        </is>
      </c>
      <c r="B12" s="9">
        <f>COUNTA(Resultados!$A$2:$A$2000)</f>
        <v/>
      </c>
    </row>
    <row r="13">
      <c r="A13" s="8" t="inlineStr">
        <is>
          <t>Cobertura de la evaluación (reglas aplicables que se pudieron decidir)</t>
        </is>
      </c>
      <c r="B13" s="10">
        <f>IFERROR((COUNTIF(Resultados!$H$2:$H$2000,"CUMPLE")+COUNTIF(Resultados!$H$2:$H$2000,"PARCIAL")+COUNTIF(Resultados!$H$2:$H$2000,"NO_CUMPLE"))/(COUNTA(Resultados!$A$2:$A$2000)-COUNTIF(Resultados!$H$2:$H$2000,"NO_APLICA")),"")</f>
        <v/>
      </c>
    </row>
    <row r="14">
      <c r="A14" s="8" t="inlineStr">
        <is>
          <t>Cumplimiento global (ponderado)</t>
        </is>
      </c>
      <c r="B14" s="10">
        <f>IFERROR(SUM(Resultados!$J$2:$J$2000)/COUNT(Resultados!$J$2:$J$2000),"")</f>
        <v/>
      </c>
    </row>
    <row r="15">
      <c r="A15" s="8" t="inlineStr">
        <is>
          <t>Cumplimiento en requisitos obligatorios (DEBE)</t>
        </is>
      </c>
      <c r="B15" s="10">
        <f>IFERROR(SUMIFS(Resultados!$J$2:$J$2000,Resultados!$F$2:$F$2000,"DEBE")/COUNTIFS(Resultados!$F$2:$F$2000,"DEBE",Resultados!$J$2:$J$2000,"&gt;=0"),"")</f>
        <v/>
      </c>
    </row>
    <row r="16">
      <c r="A16" s="8" t="inlineStr">
        <is>
          <t>Cumplimiento en recomendaciones (DEBERÍA)</t>
        </is>
      </c>
      <c r="B16" s="10">
        <f>IFERROR(SUMIFS(Resultados!$J$2:$J$2000,Resultados!$F$2:$F$2000,"DEBERÍA")/COUNTIFS(Resultados!$F$2:$F$2000,"DEBERÍA",Resultados!$J$2:$J$2000,"&gt;=0"),"")</f>
        <v/>
      </c>
    </row>
    <row r="17">
      <c r="A17" s="8" t="inlineStr">
        <is>
          <t>Incumplimientos obligatorios abiertos (DEBE en NO_CUMPLE)</t>
        </is>
      </c>
      <c r="B17" s="9">
        <f>COUNTIFS(Resultados!$F$2:$F$2000,"DEBE",Resultados!$H$2:$H$2000,"NO_CUMPLE")</f>
        <v/>
      </c>
    </row>
    <row r="18">
      <c r="A18" s="8" t="inlineStr">
        <is>
          <t>Reglas distintas incumplidas (NO_CUMPLE)</t>
        </is>
      </c>
      <c r="B18" s="9">
        <f>SUMPRODUCT((Resultados!$H$2:$H$2000="NO_CUMPLE")/(COUNTIFS(Resultados!$C$2:$C$2000,Resultados!$C$2:$C$2000,Resultados!$H$2:$H$2000,"NO_CUMPLE")+(Resultados!$H$2:$H$2000&lt;&gt;"NO_CUMPLE")))</f>
        <v/>
      </c>
    </row>
    <row r="19">
      <c r="A19" s="2" t="inlineStr">
        <is>
          <t>El % pondera CUMPLE=1, PARCIAL=0.5 (ajustable en Referencia) y NO_CUMPLE=0; NO_APLICA, REQUIERE_REVISION_MANUAL y SIN_EVALUAR no puntúan, así que léalo junto a la cobertura.</t>
        </is>
      </c>
    </row>
    <row r="21">
      <c r="A21" s="7" t="inlineStr">
        <is>
          <t>Distribución por estado</t>
        </is>
      </c>
    </row>
    <row r="22">
      <c r="A22" s="11" t="inlineStr">
        <is>
          <t>Estado</t>
        </is>
      </c>
      <c r="B22" s="11" t="inlineStr">
        <is>
          <t>Cantidad</t>
        </is>
      </c>
      <c r="C22" s="11" t="inlineStr">
        <is>
          <t>% del total</t>
        </is>
      </c>
    </row>
    <row r="23">
      <c r="A23" s="12" t="inlineStr">
        <is>
          <t>CUMPLE</t>
        </is>
      </c>
      <c r="B23" s="13">
        <f>COUNTIF(Resultados!$H$2:$H$2000,A23)</f>
        <v/>
      </c>
      <c r="C23" s="14">
        <f>IFERROR(B23/B$29,0)</f>
        <v/>
      </c>
    </row>
    <row r="24">
      <c r="A24" s="12" t="inlineStr">
        <is>
          <t>PARCIAL</t>
        </is>
      </c>
      <c r="B24" s="13">
        <f>COUNTIF(Resultados!$H$2:$H$2000,A24)</f>
        <v/>
      </c>
      <c r="C24" s="14">
        <f>IFERROR(B24/B$29,0)</f>
        <v/>
      </c>
    </row>
    <row r="25">
      <c r="A25" s="12" t="inlineStr">
        <is>
          <t>NO_CUMPLE</t>
        </is>
      </c>
      <c r="B25" s="13">
        <f>COUNTIF(Resultados!$H$2:$H$2000,A25)</f>
        <v/>
      </c>
      <c r="C25" s="14">
        <f>IFERROR(B25/B$29,0)</f>
        <v/>
      </c>
    </row>
    <row r="26">
      <c r="A26" s="12" t="inlineStr">
        <is>
          <t>NO_APLICA</t>
        </is>
      </c>
      <c r="B26" s="13">
        <f>COUNTIF(Resultados!$H$2:$H$2000,A26)</f>
        <v/>
      </c>
      <c r="C26" s="14">
        <f>IFERROR(B26/B$29,0)</f>
        <v/>
      </c>
    </row>
    <row r="27">
      <c r="A27" s="12" t="inlineStr">
        <is>
          <t>REQUIERE_REVISION_MANUAL</t>
        </is>
      </c>
      <c r="B27" s="13">
        <f>COUNTIF(Resultados!$H$2:$H$2000,A27)</f>
        <v/>
      </c>
      <c r="C27" s="14">
        <f>IFERROR(B27/B$29,0)</f>
        <v/>
      </c>
    </row>
    <row r="28">
      <c r="A28" s="12" t="inlineStr">
        <is>
          <t>SIN_EVALUAR</t>
        </is>
      </c>
      <c r="B28" s="13">
        <f>COUNTIF(Resultados!$H$2:$H$2000,A28)</f>
        <v/>
      </c>
      <c r="C28" s="14">
        <f>IFERROR(B28/B$29,0)</f>
        <v/>
      </c>
    </row>
    <row r="29">
      <c r="A29" s="3" t="inlineStr">
        <is>
          <t>Total</t>
        </is>
      </c>
      <c r="B29" s="15">
        <f>SUM(B23:B28)</f>
        <v/>
      </c>
      <c r="C29" s="16">
        <f>SUM(C23:C28)</f>
        <v/>
      </c>
    </row>
    <row r="31">
      <c r="A31" s="7" t="inlineStr">
        <is>
          <t>Cumplimiento por componente</t>
        </is>
      </c>
    </row>
    <row r="32" ht="44" customHeight="1">
      <c r="A32" s="11" t="inlineStr">
        <is>
          <t>Componente</t>
        </is>
      </c>
      <c r="B32" s="11" t="inlineStr">
        <is>
          <t>Tipo</t>
        </is>
      </c>
      <c r="C32" s="11" t="inlineStr">
        <is>
          <t>CUMPLE</t>
        </is>
      </c>
      <c r="D32" s="11" t="inlineStr">
        <is>
          <t>PARCIAL</t>
        </is>
      </c>
      <c r="E32" s="11" t="inlineStr">
        <is>
          <t>NO_CUMPLE</t>
        </is>
      </c>
      <c r="F32" s="11" t="inlineStr">
        <is>
          <t>NO_APLICA</t>
        </is>
      </c>
      <c r="G32" s="11" t="inlineStr">
        <is>
          <t>REQUIERE_REVISION_MANUAL</t>
        </is>
      </c>
      <c r="H32" s="11" t="inlineStr">
        <is>
          <t>SIN_EVALUAR</t>
        </is>
      </c>
      <c r="I32" s="11" t="inlineStr">
        <is>
          <t>% cumplimiento</t>
        </is>
      </c>
    </row>
    <row r="33">
      <c r="A33" s="12" t="inlineStr">
        <is>
          <t>svc-requests</t>
        </is>
      </c>
      <c r="B33" s="8" t="inlineStr">
        <is>
          <t>microservicio</t>
        </is>
      </c>
      <c r="C33" s="13">
        <f>COUNTIFS(Resultados!$A$2:$A$2000,$A33,Resultados!$H$2:$H$2000,C$32)</f>
        <v/>
      </c>
      <c r="D33" s="13">
        <f>COUNTIFS(Resultados!$A$2:$A$2000,$A33,Resultados!$H$2:$H$2000,D$32)</f>
        <v/>
      </c>
      <c r="E33" s="13">
        <f>COUNTIFS(Resultados!$A$2:$A$2000,$A33,Resultados!$H$2:$H$2000,E$32)</f>
        <v/>
      </c>
      <c r="F33" s="13">
        <f>COUNTIFS(Resultados!$A$2:$A$2000,$A33,Resultados!$H$2:$H$2000,F$32)</f>
        <v/>
      </c>
      <c r="G33" s="13">
        <f>COUNTIFS(Resultados!$A$2:$A$2000,$A33,Resultados!$H$2:$H$2000,G$32)</f>
        <v/>
      </c>
      <c r="H33" s="13">
        <f>COUNTIFS(Resultados!$A$2:$A$2000,$A33,Resultados!$H$2:$H$2000,H$32)</f>
        <v/>
      </c>
      <c r="I33" s="10">
        <f>IFERROR(SUMIFS(Resultados!$J$2:$J$2000,Resultados!$A$2:$A$2000,$A33)/COUNTIFS(Resultados!$A$2:$A$2000,$A33,Resultados!$J$2:$J$2000,"&gt;=0"),"")</f>
        <v/>
      </c>
    </row>
    <row r="34">
      <c r="A34" s="12" t="inlineStr">
        <is>
          <t>svc-preparation</t>
        </is>
      </c>
      <c r="B34" s="8" t="inlineStr">
        <is>
          <t>microservicio</t>
        </is>
      </c>
      <c r="C34" s="13">
        <f>COUNTIFS(Resultados!$A$2:$A$2000,$A34,Resultados!$H$2:$H$2000,C$32)</f>
        <v/>
      </c>
      <c r="D34" s="13">
        <f>COUNTIFS(Resultados!$A$2:$A$2000,$A34,Resultados!$H$2:$H$2000,D$32)</f>
        <v/>
      </c>
      <c r="E34" s="13">
        <f>COUNTIFS(Resultados!$A$2:$A$2000,$A34,Resultados!$H$2:$H$2000,E$32)</f>
        <v/>
      </c>
      <c r="F34" s="13">
        <f>COUNTIFS(Resultados!$A$2:$A$2000,$A34,Resultados!$H$2:$H$2000,F$32)</f>
        <v/>
      </c>
      <c r="G34" s="13">
        <f>COUNTIFS(Resultados!$A$2:$A$2000,$A34,Resultados!$H$2:$H$2000,G$32)</f>
        <v/>
      </c>
      <c r="H34" s="13">
        <f>COUNTIFS(Resultados!$A$2:$A$2000,$A34,Resultados!$H$2:$H$2000,H$32)</f>
        <v/>
      </c>
      <c r="I34" s="10">
        <f>IFERROR(SUMIFS(Resultados!$J$2:$J$2000,Resultados!$A$2:$A$2000,$A34)/COUNTIFS(Resultados!$A$2:$A$2000,$A34,Resultados!$J$2:$J$2000,"&gt;=0"),"")</f>
        <v/>
      </c>
    </row>
    <row r="35">
      <c r="A35" s="12" t="inlineStr">
        <is>
          <t>svc-celebration</t>
        </is>
      </c>
      <c r="B35" s="8" t="inlineStr">
        <is>
          <t>microservicio</t>
        </is>
      </c>
      <c r="C35" s="13">
        <f>COUNTIFS(Resultados!$A$2:$A$2000,$A35,Resultados!$H$2:$H$2000,C$32)</f>
        <v/>
      </c>
      <c r="D35" s="13">
        <f>COUNTIFS(Resultados!$A$2:$A$2000,$A35,Resultados!$H$2:$H$2000,D$32)</f>
        <v/>
      </c>
      <c r="E35" s="13">
        <f>COUNTIFS(Resultados!$A$2:$A$2000,$A35,Resultados!$H$2:$H$2000,E$32)</f>
        <v/>
      </c>
      <c r="F35" s="13">
        <f>COUNTIFS(Resultados!$A$2:$A$2000,$A35,Resultados!$H$2:$H$2000,F$32)</f>
        <v/>
      </c>
      <c r="G35" s="13">
        <f>COUNTIFS(Resultados!$A$2:$A$2000,$A35,Resultados!$H$2:$H$2000,G$32)</f>
        <v/>
      </c>
      <c r="H35" s="13">
        <f>COUNTIFS(Resultados!$A$2:$A$2000,$A35,Resultados!$H$2:$H$2000,H$32)</f>
        <v/>
      </c>
      <c r="I35" s="10">
        <f>IFERROR(SUMIFS(Resultados!$J$2:$J$2000,Resultados!$A$2:$A$2000,$A35)/COUNTIFS(Resultados!$A$2:$A$2000,$A35,Resultados!$J$2:$J$2000,"&gt;=0"),"")</f>
        <v/>
      </c>
    </row>
    <row r="36">
      <c r="A36" s="12" t="inlineStr">
        <is>
          <t>svc-certificate</t>
        </is>
      </c>
      <c r="B36" s="8" t="inlineStr">
        <is>
          <t>microservicio</t>
        </is>
      </c>
      <c r="C36" s="13">
        <f>COUNTIFS(Resultados!$A$2:$A$2000,$A36,Resultados!$H$2:$H$2000,C$32)</f>
        <v/>
      </c>
      <c r="D36" s="13">
        <f>COUNTIFS(Resultados!$A$2:$A$2000,$A36,Resultados!$H$2:$H$2000,D$32)</f>
        <v/>
      </c>
      <c r="E36" s="13">
        <f>COUNTIFS(Resultados!$A$2:$A$2000,$A36,Resultados!$H$2:$H$2000,E$32)</f>
        <v/>
      </c>
      <c r="F36" s="13">
        <f>COUNTIFS(Resultados!$A$2:$A$2000,$A36,Resultados!$H$2:$H$2000,F$32)</f>
        <v/>
      </c>
      <c r="G36" s="13">
        <f>COUNTIFS(Resultados!$A$2:$A$2000,$A36,Resultados!$H$2:$H$2000,G$32)</f>
        <v/>
      </c>
      <c r="H36" s="13">
        <f>COUNTIFS(Resultados!$A$2:$A$2000,$A36,Resultados!$H$2:$H$2000,H$32)</f>
        <v/>
      </c>
      <c r="I36" s="10">
        <f>IFERROR(SUMIFS(Resultados!$J$2:$J$2000,Resultados!$A$2:$A$2000,$A36)/COUNTIFS(Resultados!$A$2:$A$2000,$A36,Resultados!$J$2:$J$2000,"&gt;=0"),"")</f>
        <v/>
      </c>
    </row>
    <row r="37">
      <c r="A37" s="12" t="inlineStr">
        <is>
          <t>web-fideinexus</t>
        </is>
      </c>
      <c r="B37" s="8" t="inlineStr">
        <is>
          <t>frontend</t>
        </is>
      </c>
      <c r="C37" s="13">
        <f>COUNTIFS(Resultados!$A$2:$A$2000,$A37,Resultados!$H$2:$H$2000,C$32)</f>
        <v/>
      </c>
      <c r="D37" s="13">
        <f>COUNTIFS(Resultados!$A$2:$A$2000,$A37,Resultados!$H$2:$H$2000,D$32)</f>
        <v/>
      </c>
      <c r="E37" s="13">
        <f>COUNTIFS(Resultados!$A$2:$A$2000,$A37,Resultados!$H$2:$H$2000,E$32)</f>
        <v/>
      </c>
      <c r="F37" s="13">
        <f>COUNTIFS(Resultados!$A$2:$A$2000,$A37,Resultados!$H$2:$H$2000,F$32)</f>
        <v/>
      </c>
      <c r="G37" s="13">
        <f>COUNTIFS(Resultados!$A$2:$A$2000,$A37,Resultados!$H$2:$H$2000,G$32)</f>
        <v/>
      </c>
      <c r="H37" s="13">
        <f>COUNTIFS(Resultados!$A$2:$A$2000,$A37,Resultados!$H$2:$H$2000,H$32)</f>
        <v/>
      </c>
      <c r="I37" s="10">
        <f>IFERROR(SUMIFS(Resultados!$J$2:$J$2000,Resultados!$A$2:$A$2000,$A37)/COUNTIFS(Resultados!$A$2:$A$2000,$A37,Resultados!$J$2:$J$2000,"&gt;=0"),"")</f>
        <v/>
      </c>
    </row>
    <row r="38">
      <c r="A38" s="12" t="inlineStr">
        <is>
          <t>gateway</t>
        </is>
      </c>
      <c r="B38" s="8" t="inlineStr">
        <is>
          <t>gateway</t>
        </is>
      </c>
      <c r="C38" s="13">
        <f>COUNTIFS(Resultados!$A$2:$A$2000,$A38,Resultados!$H$2:$H$2000,C$32)</f>
        <v/>
      </c>
      <c r="D38" s="13">
        <f>COUNTIFS(Resultados!$A$2:$A$2000,$A38,Resultados!$H$2:$H$2000,D$32)</f>
        <v/>
      </c>
      <c r="E38" s="13">
        <f>COUNTIFS(Resultados!$A$2:$A$2000,$A38,Resultados!$H$2:$H$2000,E$32)</f>
        <v/>
      </c>
      <c r="F38" s="13">
        <f>COUNTIFS(Resultados!$A$2:$A$2000,$A38,Resultados!$H$2:$H$2000,F$32)</f>
        <v/>
      </c>
      <c r="G38" s="13">
        <f>COUNTIFS(Resultados!$A$2:$A$2000,$A38,Resultados!$H$2:$H$2000,G$32)</f>
        <v/>
      </c>
      <c r="H38" s="13">
        <f>COUNTIFS(Resultados!$A$2:$A$2000,$A38,Resultados!$H$2:$H$2000,H$32)</f>
        <v/>
      </c>
      <c r="I38" s="10">
        <f>IFERROR(SUMIFS(Resultados!$J$2:$J$2000,Resultados!$A$2:$A$2000,$A38)/COUNTIFS(Resultados!$A$2:$A$2000,$A38,Resultados!$J$2:$J$2000,"&gt;=0"),"")</f>
        <v/>
      </c>
    </row>
    <row r="57">
      <c r="A57" s="7" t="inlineStr">
        <is>
          <t>Cumplimiento por categoría del estándar</t>
        </is>
      </c>
    </row>
    <row r="58" ht="44" customHeight="1">
      <c r="A58" s="11" t="inlineStr">
        <is>
          <t>Categoría</t>
        </is>
      </c>
      <c r="B58" s="11" t="inlineStr">
        <is>
          <t>Evaluaciones</t>
        </is>
      </c>
      <c r="C58" s="11" t="inlineStr">
        <is>
          <t>CUMPLE</t>
        </is>
      </c>
      <c r="D58" s="11" t="inlineStr">
        <is>
          <t>PARCIAL</t>
        </is>
      </c>
      <c r="E58" s="11" t="inlineStr">
        <is>
          <t>NO_CUMPLE</t>
        </is>
      </c>
      <c r="F58" s="11" t="inlineStr">
        <is>
          <t>NO_APLICA</t>
        </is>
      </c>
      <c r="G58" s="11" t="inlineStr">
        <is>
          <t>REQUIERE_REVISION_MANUAL</t>
        </is>
      </c>
      <c r="H58" s="11" t="inlineStr">
        <is>
          <t>SIN_EVALUAR</t>
        </is>
      </c>
      <c r="I58" s="11" t="inlineStr">
        <is>
          <t>% cumplimiento</t>
        </is>
      </c>
    </row>
    <row r="59">
      <c r="A59" s="17" t="inlineStr">
        <is>
          <t>Identidad y autenticación</t>
        </is>
      </c>
      <c r="B59" s="13">
        <f>COUNTIFS(Resultados!$E$2:$E$2000,$A59)</f>
        <v/>
      </c>
      <c r="C59" s="13">
        <f>COUNTIFS(Resultados!$E$2:$E$2000,$A59,Resultados!$H$2:$H$2000,C$58)</f>
        <v/>
      </c>
      <c r="D59" s="13">
        <f>COUNTIFS(Resultados!$E$2:$E$2000,$A59,Resultados!$H$2:$H$2000,D$58)</f>
        <v/>
      </c>
      <c r="E59" s="13">
        <f>COUNTIFS(Resultados!$E$2:$E$2000,$A59,Resultados!$H$2:$H$2000,E$58)</f>
        <v/>
      </c>
      <c r="F59" s="13">
        <f>COUNTIFS(Resultados!$E$2:$E$2000,$A59,Resultados!$H$2:$H$2000,F$58)</f>
        <v/>
      </c>
      <c r="G59" s="13">
        <f>COUNTIFS(Resultados!$E$2:$E$2000,$A59,Resultados!$H$2:$H$2000,G$58)</f>
        <v/>
      </c>
      <c r="H59" s="13">
        <f>COUNTIFS(Resultados!$E$2:$E$2000,$A59,Resultados!$H$2:$H$2000,H$58)</f>
        <v/>
      </c>
      <c r="I59" s="10">
        <f>IFERROR(SUMIFS(Resultados!$J$2:$J$2000,Resultados!$E$2:$E$2000,$A59)/COUNTIFS(Resultados!$E$2:$E$2000,$A59,Resultados!$J$2:$J$2000,"&gt;=0"),"")</f>
        <v/>
      </c>
    </row>
    <row r="60">
      <c r="A60" s="17" t="inlineStr">
        <is>
          <t>Autorización y roles</t>
        </is>
      </c>
      <c r="B60" s="13">
        <f>COUNTIFS(Resultados!$E$2:$E$2000,$A60)</f>
        <v/>
      </c>
      <c r="C60" s="13">
        <f>COUNTIFS(Resultados!$E$2:$E$2000,$A60,Resultados!$H$2:$H$2000,C$58)</f>
        <v/>
      </c>
      <c r="D60" s="13">
        <f>COUNTIFS(Resultados!$E$2:$E$2000,$A60,Resultados!$H$2:$H$2000,D$58)</f>
        <v/>
      </c>
      <c r="E60" s="13">
        <f>COUNTIFS(Resultados!$E$2:$E$2000,$A60,Resultados!$H$2:$H$2000,E$58)</f>
        <v/>
      </c>
      <c r="F60" s="13">
        <f>COUNTIFS(Resultados!$E$2:$E$2000,$A60,Resultados!$H$2:$H$2000,F$58)</f>
        <v/>
      </c>
      <c r="G60" s="13">
        <f>COUNTIFS(Resultados!$E$2:$E$2000,$A60,Resultados!$H$2:$H$2000,G$58)</f>
        <v/>
      </c>
      <c r="H60" s="13">
        <f>COUNTIFS(Resultados!$E$2:$E$2000,$A60,Resultados!$H$2:$H$2000,H$58)</f>
        <v/>
      </c>
      <c r="I60" s="10">
        <f>IFERROR(SUMIFS(Resultados!$J$2:$J$2000,Resultados!$E$2:$E$2000,$A60)/COUNTIFS(Resultados!$E$2:$E$2000,$A60,Resultados!$J$2:$J$2000,"&gt;=0"),"")</f>
        <v/>
      </c>
    </row>
    <row r="61">
      <c r="A61" s="17" t="inlineStr">
        <is>
          <t>Aislamiento multi-tenant</t>
        </is>
      </c>
      <c r="B61" s="13">
        <f>COUNTIFS(Resultados!$E$2:$E$2000,$A61)</f>
        <v/>
      </c>
      <c r="C61" s="13">
        <f>COUNTIFS(Resultados!$E$2:$E$2000,$A61,Resultados!$H$2:$H$2000,C$58)</f>
        <v/>
      </c>
      <c r="D61" s="13">
        <f>COUNTIFS(Resultados!$E$2:$E$2000,$A61,Resultados!$H$2:$H$2000,D$58)</f>
        <v/>
      </c>
      <c r="E61" s="13">
        <f>COUNTIFS(Resultados!$E$2:$E$2000,$A61,Resultados!$H$2:$H$2000,E$58)</f>
        <v/>
      </c>
      <c r="F61" s="13">
        <f>COUNTIFS(Resultados!$E$2:$E$2000,$A61,Resultados!$H$2:$H$2000,F$58)</f>
        <v/>
      </c>
      <c r="G61" s="13">
        <f>COUNTIFS(Resultados!$E$2:$E$2000,$A61,Resultados!$H$2:$H$2000,G$58)</f>
        <v/>
      </c>
      <c r="H61" s="13">
        <f>COUNTIFS(Resultados!$E$2:$E$2000,$A61,Resultados!$H$2:$H$2000,H$58)</f>
        <v/>
      </c>
      <c r="I61" s="10">
        <f>IFERROR(SUMIFS(Resultados!$J$2:$J$2000,Resultados!$E$2:$E$2000,$A61)/COUNTIFS(Resultados!$E$2:$E$2000,$A61,Resultados!$J$2:$J$2000,"&gt;=0"),"")</f>
        <v/>
      </c>
    </row>
    <row r="62">
      <c r="A62" s="17" t="inlineStr">
        <is>
          <t>Seguridad entre microservicios</t>
        </is>
      </c>
      <c r="B62" s="13">
        <f>COUNTIFS(Resultados!$E$2:$E$2000,$A62)</f>
        <v/>
      </c>
      <c r="C62" s="13">
        <f>COUNTIFS(Resultados!$E$2:$E$2000,$A62,Resultados!$H$2:$H$2000,C$58)</f>
        <v/>
      </c>
      <c r="D62" s="13">
        <f>COUNTIFS(Resultados!$E$2:$E$2000,$A62,Resultados!$H$2:$H$2000,D$58)</f>
        <v/>
      </c>
      <c r="E62" s="13">
        <f>COUNTIFS(Resultados!$E$2:$E$2000,$A62,Resultados!$H$2:$H$2000,E$58)</f>
        <v/>
      </c>
      <c r="F62" s="13">
        <f>COUNTIFS(Resultados!$E$2:$E$2000,$A62,Resultados!$H$2:$H$2000,F$58)</f>
        <v/>
      </c>
      <c r="G62" s="13">
        <f>COUNTIFS(Resultados!$E$2:$E$2000,$A62,Resultados!$H$2:$H$2000,G$58)</f>
        <v/>
      </c>
      <c r="H62" s="13">
        <f>COUNTIFS(Resultados!$E$2:$E$2000,$A62,Resultados!$H$2:$H$2000,H$58)</f>
        <v/>
      </c>
      <c r="I62" s="10">
        <f>IFERROR(SUMIFS(Resultados!$J$2:$J$2000,Resultados!$E$2:$E$2000,$A62)/COUNTIFS(Resultados!$E$2:$E$2000,$A62,Resultados!$J$2:$J$2000,"&gt;=0"),"")</f>
        <v/>
      </c>
    </row>
    <row r="63">
      <c r="A63" s="17" t="inlineStr">
        <is>
          <t>Datos, secretos y configuración</t>
        </is>
      </c>
      <c r="B63" s="13">
        <f>COUNTIFS(Resultados!$E$2:$E$2000,$A63)</f>
        <v/>
      </c>
      <c r="C63" s="13">
        <f>COUNTIFS(Resultados!$E$2:$E$2000,$A63,Resultados!$H$2:$H$2000,C$58)</f>
        <v/>
      </c>
      <c r="D63" s="13">
        <f>COUNTIFS(Resultados!$E$2:$E$2000,$A63,Resultados!$H$2:$H$2000,D$58)</f>
        <v/>
      </c>
      <c r="E63" s="13">
        <f>COUNTIFS(Resultados!$E$2:$E$2000,$A63,Resultados!$H$2:$H$2000,E$58)</f>
        <v/>
      </c>
      <c r="F63" s="13">
        <f>COUNTIFS(Resultados!$E$2:$E$2000,$A63,Resultados!$H$2:$H$2000,F$58)</f>
        <v/>
      </c>
      <c r="G63" s="13">
        <f>COUNTIFS(Resultados!$E$2:$E$2000,$A63,Resultados!$H$2:$H$2000,G$58)</f>
        <v/>
      </c>
      <c r="H63" s="13">
        <f>COUNTIFS(Resultados!$E$2:$E$2000,$A63,Resultados!$H$2:$H$2000,H$58)</f>
        <v/>
      </c>
      <c r="I63" s="10">
        <f>IFERROR(SUMIFS(Resultados!$J$2:$J$2000,Resultados!$E$2:$E$2000,$A63)/COUNTIFS(Resultados!$E$2:$E$2000,$A63,Resultados!$J$2:$J$2000,"&gt;=0"),"")</f>
        <v/>
      </c>
    </row>
    <row r="64">
      <c r="A64" s="17" t="inlineStr">
        <is>
          <t>Errores, logs y auditoría</t>
        </is>
      </c>
      <c r="B64" s="13">
        <f>COUNTIFS(Resultados!$E$2:$E$2000,$A64)</f>
        <v/>
      </c>
      <c r="C64" s="13">
        <f>COUNTIFS(Resultados!$E$2:$E$2000,$A64,Resultados!$H$2:$H$2000,C$58)</f>
        <v/>
      </c>
      <c r="D64" s="13">
        <f>COUNTIFS(Resultados!$E$2:$E$2000,$A64,Resultados!$H$2:$H$2000,D$58)</f>
        <v/>
      </c>
      <c r="E64" s="13">
        <f>COUNTIFS(Resultados!$E$2:$E$2000,$A64,Resultados!$H$2:$H$2000,E$58)</f>
        <v/>
      </c>
      <c r="F64" s="13">
        <f>COUNTIFS(Resultados!$E$2:$E$2000,$A64,Resultados!$H$2:$H$2000,F$58)</f>
        <v/>
      </c>
      <c r="G64" s="13">
        <f>COUNTIFS(Resultados!$E$2:$E$2000,$A64,Resultados!$H$2:$H$2000,G$58)</f>
        <v/>
      </c>
      <c r="H64" s="13">
        <f>COUNTIFS(Resultados!$E$2:$E$2000,$A64,Resultados!$H$2:$H$2000,H$58)</f>
        <v/>
      </c>
      <c r="I64" s="10">
        <f>IFERROR(SUMIFS(Resultados!$J$2:$J$2000,Resultados!$E$2:$E$2000,$A64)/COUNTIFS(Resultados!$E$2:$E$2000,$A64,Resultados!$J$2:$J$2000,"&gt;=0"),"")</f>
        <v/>
      </c>
    </row>
    <row r="65">
      <c r="A65" s="17" t="inlineStr">
        <is>
          <t>Integridad transversal</t>
        </is>
      </c>
      <c r="B65" s="13">
        <f>COUNTIFS(Resultados!$E$2:$E$2000,$A65)</f>
        <v/>
      </c>
      <c r="C65" s="13">
        <f>COUNTIFS(Resultados!$E$2:$E$2000,$A65,Resultados!$H$2:$H$2000,C$58)</f>
        <v/>
      </c>
      <c r="D65" s="13">
        <f>COUNTIFS(Resultados!$E$2:$E$2000,$A65,Resultados!$H$2:$H$2000,D$58)</f>
        <v/>
      </c>
      <c r="E65" s="13">
        <f>COUNTIFS(Resultados!$E$2:$E$2000,$A65,Resultados!$H$2:$H$2000,E$58)</f>
        <v/>
      </c>
      <c r="F65" s="13">
        <f>COUNTIFS(Resultados!$E$2:$E$2000,$A65,Resultados!$H$2:$H$2000,F$58)</f>
        <v/>
      </c>
      <c r="G65" s="13">
        <f>COUNTIFS(Resultados!$E$2:$E$2000,$A65,Resultados!$H$2:$H$2000,G$58)</f>
        <v/>
      </c>
      <c r="H65" s="13">
        <f>COUNTIFS(Resultados!$E$2:$E$2000,$A65,Resultados!$H$2:$H$2000,H$58)</f>
        <v/>
      </c>
      <c r="I65" s="10">
        <f>IFERROR(SUMIFS(Resultados!$J$2:$J$2000,Resultados!$E$2:$E$2000,$A65)/COUNTIFS(Resultados!$E$2:$E$2000,$A65,Resultados!$J$2:$J$2000,"&gt;=0"),"")</f>
        <v/>
      </c>
    </row>
    <row r="67">
      <c r="A67" s="7" t="inlineStr">
        <is>
          <t>Hallazgos abiertos por severidad</t>
        </is>
      </c>
    </row>
    <row r="68">
      <c r="A68" s="11" t="inlineStr">
        <is>
          <t>Severidad</t>
        </is>
      </c>
      <c r="B68" s="11" t="inlineStr">
        <is>
          <t>NO_CUMPLE</t>
        </is>
      </c>
      <c r="C68" s="11" t="inlineStr">
        <is>
          <t>PARCIAL</t>
        </is>
      </c>
      <c r="D68" s="11" t="inlineStr">
        <is>
          <t>Total</t>
        </is>
      </c>
    </row>
    <row r="69">
      <c r="A69" s="12" t="inlineStr">
        <is>
          <t>Crítica</t>
        </is>
      </c>
      <c r="B69" s="13">
        <f>COUNTIFS(Resultados!$I$2:$I$2000,$A69,Resultados!$H$2:$H$2000,B$68)</f>
        <v/>
      </c>
      <c r="C69" s="13">
        <f>COUNTIFS(Resultados!$I$2:$I$2000,$A69,Resultados!$H$2:$H$2000,C$68)</f>
        <v/>
      </c>
      <c r="D69" s="18">
        <f>B69+C69</f>
        <v/>
      </c>
    </row>
    <row r="70">
      <c r="A70" s="12" t="inlineStr">
        <is>
          <t>Alta</t>
        </is>
      </c>
      <c r="B70" s="13">
        <f>COUNTIFS(Resultados!$I$2:$I$2000,$A70,Resultados!$H$2:$H$2000,B$68)</f>
        <v/>
      </c>
      <c r="C70" s="13">
        <f>COUNTIFS(Resultados!$I$2:$I$2000,$A70,Resultados!$H$2:$H$2000,C$68)</f>
        <v/>
      </c>
      <c r="D70" s="18">
        <f>B70+C70</f>
        <v/>
      </c>
    </row>
    <row r="71">
      <c r="A71" s="12" t="inlineStr">
        <is>
          <t>Media</t>
        </is>
      </c>
      <c r="B71" s="13">
        <f>COUNTIFS(Resultados!$I$2:$I$2000,$A71,Resultados!$H$2:$H$2000,B$68)</f>
        <v/>
      </c>
      <c r="C71" s="13">
        <f>COUNTIFS(Resultados!$I$2:$I$2000,$A71,Resultados!$H$2:$H$2000,C$68)</f>
        <v/>
      </c>
      <c r="D71" s="18">
        <f>B71+C71</f>
        <v/>
      </c>
    </row>
    <row r="72">
      <c r="A72" s="12" t="inlineStr">
        <is>
          <t>Baja</t>
        </is>
      </c>
      <c r="B72" s="13">
        <f>COUNTIFS(Resultados!$I$2:$I$2000,$A72,Resultados!$H$2:$H$2000,B$68)</f>
        <v/>
      </c>
      <c r="C72" s="13">
        <f>COUNTIFS(Resultados!$I$2:$I$2000,$A72,Resultados!$H$2:$H$2000,C$68)</f>
        <v/>
      </c>
      <c r="D72" s="18">
        <f>B72+C72</f>
        <v/>
      </c>
    </row>
    <row r="74">
      <c r="A74" s="7" t="inlineStr">
        <is>
          <t>Limitaciones y supuestos del análisis</t>
        </is>
      </c>
    </row>
    <row r="75" ht="15" customHeight="1">
      <c r="A75" s="19" t="inlineStr">
        <is>
          <t>• Auditoria estatica: no se ejecutaron pruebas dinamicas de penetracion.</t>
        </is>
      </c>
    </row>
    <row r="76" ht="30" customHeight="1">
      <c r="A76" s="19" t="inlineStr">
        <is>
          <t>• Las configuraciones de produccion (URLs, TLS, secretos) llegan por variables de entorno y no son inspeccionables desde el repositorio.</t>
        </is>
      </c>
    </row>
    <row r="77" ht="15" customHeight="1">
      <c r="A77" s="19" t="inlineStr">
        <is>
          <t>• No se ejecutaron pruebas dinamicas automaticas: el analisis es estatico mas las verificaciones manuales de la sesion.</t>
        </is>
      </c>
    </row>
    <row r="78" ht="15" customHeight="1">
      <c r="A78" s="19" t="inlineStr">
        <is>
          <t>• La configuracion de produccion (URLs, TLS) se inyecta por variables de entorno y no es inspeccionable desde el repositorio.</t>
        </is>
      </c>
    </row>
    <row r="79" ht="15" customHeight="1">
      <c r="A79" s="19" t="inlineStr">
        <is>
          <t>• No se ejecutaron pruebas dinamicas automaticas: el analisis es estatico mas las verificaciones manuales de la sesion.</t>
        </is>
      </c>
    </row>
    <row r="80" ht="15" customHeight="1">
      <c r="A80" s="19" t="inlineStr">
        <is>
          <t>• La configuracion de produccion (URLs, TLS) se inyecta por variables de entorno y no es inspeccionable desde el repositorio.</t>
        </is>
      </c>
    </row>
    <row r="81" ht="15" customHeight="1">
      <c r="A81" s="19" t="inlineStr">
        <is>
          <t>• No se ejecutaron pruebas dinamicas automaticas: el analisis es estatico mas las verificaciones manuales de la sesion.</t>
        </is>
      </c>
    </row>
    <row r="82" ht="15" customHeight="1">
      <c r="A82" s="19" t="inlineStr">
        <is>
          <t>• La configuracion de produccion (URLs, TLS) se inyecta por variables de entorno y no es inspeccionable desde el repositorio.</t>
        </is>
      </c>
    </row>
    <row r="83" ht="15" customHeight="1">
      <c r="A83" s="19" t="inlineStr">
        <is>
          <t>• No se ejecutaron pruebas dinamicas automaticas: el analisis es estatico mas las verificaciones manuales de la sesion.</t>
        </is>
      </c>
    </row>
    <row r="84" ht="15" customHeight="1">
      <c r="A84" s="19" t="inlineStr">
        <is>
          <t>• La configuracion de produccion (URLs, TLS) se inyecta por variables de entorno y no es inspeccionable desde el repositorio.</t>
        </is>
      </c>
    </row>
    <row r="85" ht="15" customHeight="1">
      <c r="A85" s="19" t="inlineStr">
        <is>
          <t>• No se ejecutaron pruebas dinamicas contra el IdP ni contra los microservicios desde el navegador.</t>
        </is>
      </c>
    </row>
    <row r="86" ht="30" customHeight="1">
      <c r="A86" s="19" t="inlineStr">
        <is>
          <t>• El token se guarda en localStorage: es accesible desde cualquier XSS de la pagina (decision consciente, no requisito del catalogo).</t>
        </is>
      </c>
    </row>
    <row r="87" ht="15" customHeight="1">
      <c r="A87" s="19" t="inlineStr">
        <is>
          <t>• La configuracion de produccion del gateway se inyecta por variables de entorno y no es inspeccionable desde el repositorio.</t>
        </is>
      </c>
    </row>
    <row r="88" ht="30" customHeight="1">
      <c r="A88" s="19" t="inlineStr">
        <is>
          <t>• El resultado se basa en la evidencia disponible en el código y la configuración revisados; no sustituye una prueba de penetración ni la aprobación formal del equipo de seguridad.</t>
        </is>
      </c>
    </row>
    <row r="89" ht="30" customHeight="1">
      <c r="A89" s="19" t="inlineStr">
        <is>
          <t>• Los estados REQUIERE_REVISION_MANUAL indican verificaciones que dependen de configuración externa (p. ej. Keycloak en ejecución) o de pruebas dinámicas no ejecutadas.</t>
        </is>
      </c>
    </row>
  </sheetData>
  <mergeCells count="23">
    <mergeCell ref="B7:I7"/>
    <mergeCell ref="A75:I75"/>
    <mergeCell ref="A84:I84"/>
    <mergeCell ref="A89:I89"/>
    <mergeCell ref="A80:I80"/>
    <mergeCell ref="B3:I3"/>
    <mergeCell ref="A86:I86"/>
    <mergeCell ref="A2:I2"/>
    <mergeCell ref="A85:I85"/>
    <mergeCell ref="A76:I76"/>
    <mergeCell ref="A81:I81"/>
    <mergeCell ref="A77:I77"/>
    <mergeCell ref="A83:I83"/>
    <mergeCell ref="B9:I9"/>
    <mergeCell ref="A82:I82"/>
    <mergeCell ref="B6:I6"/>
    <mergeCell ref="A1:I1"/>
    <mergeCell ref="A88:I88"/>
    <mergeCell ref="B5:I5"/>
    <mergeCell ref="A79:I79"/>
    <mergeCell ref="A87:I87"/>
    <mergeCell ref="A78:I78"/>
    <mergeCell ref="B4:I4"/>
  </mergeCells>
  <conditionalFormatting sqref="B9">
    <cfRule type="expression" priority="1" dxfId="0">
      <formula>LEFT($B$9,7)="NO APTO"</formula>
    </cfRule>
    <cfRule type="expression" priority="2" dxfId="1">
      <formula>LEFT($B$9,6)="APROBA"</formula>
    </cfRule>
    <cfRule type="expression" priority="3" dxfId="2">
      <formula>LEFT($B$9,6)="APTO ("</formula>
    </cfRule>
  </conditionalFormatting>
  <conditionalFormatting sqref="A23:A28">
    <cfRule type="cellIs" priority="4" operator="equal" dxfId="2">
      <formula>"CUMPLE"</formula>
    </cfRule>
    <cfRule type="cellIs" priority="5" operator="equal" dxfId="1">
      <formula>"PARCIAL"</formula>
    </cfRule>
    <cfRule type="cellIs" priority="6" operator="equal" dxfId="0">
      <formula>"NO_CUMPLE"</formula>
    </cfRule>
    <cfRule type="cellIs" priority="7" operator="equal" dxfId="3">
      <formula>"NO_APLICA"</formula>
    </cfRule>
    <cfRule type="cellIs" priority="8" operator="equal" dxfId="4">
      <formula>"REQUIERE_REVISION_MANUAL"</formula>
    </cfRule>
    <cfRule type="cellIs" priority="9" operator="equal" dxfId="5">
      <formula>"SIN_EVALUAR"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32" customWidth="1" min="4" max="4"/>
    <col width="26" customWidth="1" min="5" max="5"/>
    <col width="10" customWidth="1" min="6" max="6"/>
    <col width="11" customWidth="1" min="7" max="7"/>
    <col width="25" customWidth="1" min="8" max="8"/>
    <col width="11" customWidth="1" min="9" max="9"/>
    <col width="9" customWidth="1" min="10" max="10"/>
    <col width="55" customWidth="1" min="11" max="11"/>
    <col width="45" customWidth="1" min="12" max="12"/>
    <col width="45" customWidth="1" min="13" max="13"/>
    <col width="18" customWidth="1" min="14" max="14"/>
    <col width="15" customWidth="1" min="15" max="15"/>
    <col width="20" customWidth="1" min="16" max="16"/>
    <col width="30" customWidth="1" min="17" max="17"/>
  </cols>
  <sheetData>
    <row r="1" ht="32" customHeight="1">
      <c r="A1" s="11" t="inlineStr">
        <is>
          <t>Componente</t>
        </is>
      </c>
      <c r="B1" s="11" t="inlineStr">
        <is>
          <t>Tipo</t>
        </is>
      </c>
      <c r="C1" s="11" t="inlineStr">
        <is>
          <t>Regla</t>
        </is>
      </c>
      <c r="D1" s="11" t="inlineStr">
        <is>
          <t>Título de la regla</t>
        </is>
      </c>
      <c r="E1" s="11" t="inlineStr">
        <is>
          <t>Categoría</t>
        </is>
      </c>
      <c r="F1" s="11" t="inlineStr">
        <is>
          <t>Nivel</t>
        </is>
      </c>
      <c r="G1" s="11" t="inlineStr">
        <is>
          <t>Método</t>
        </is>
      </c>
      <c r="H1" s="11" t="inlineStr">
        <is>
          <t>Estado</t>
        </is>
      </c>
      <c r="I1" s="11" t="inlineStr">
        <is>
          <t>Severidad</t>
        </is>
      </c>
      <c r="J1" s="11" t="inlineStr">
        <is>
          <t>Puntaje</t>
        </is>
      </c>
      <c r="K1" s="11" t="inlineStr">
        <is>
          <t>Evidencia (archivo:línea — detalle)</t>
        </is>
      </c>
      <c r="L1" s="11" t="inlineStr">
        <is>
          <t>Observación</t>
        </is>
      </c>
      <c r="M1" s="11" t="inlineStr">
        <is>
          <t>Recomendación</t>
        </is>
      </c>
      <c r="N1" s="11" t="inlineStr">
        <is>
          <t>Responsable</t>
        </is>
      </c>
      <c r="O1" s="11" t="inlineStr">
        <is>
          <t>Fecha compromiso</t>
        </is>
      </c>
      <c r="P1" s="11" t="inlineStr">
        <is>
          <t>Estado de remediación</t>
        </is>
      </c>
    </row>
    <row r="2">
      <c r="A2" s="8" t="inlineStr">
        <is>
          <t>web-fideinexus</t>
        </is>
      </c>
      <c r="B2" s="8" t="inlineStr">
        <is>
          <t>frontend</t>
        </is>
      </c>
      <c r="C2" s="8" t="inlineStr">
        <is>
          <t>SEC-002</t>
        </is>
      </c>
      <c r="D2" s="4" t="inlineStr">
        <is>
          <t>Protocolo OIDC sobre OAuth 2.0</t>
        </is>
      </c>
      <c r="E2" s="4" t="inlineStr">
        <is>
          <t>Identidad y autenticación</t>
        </is>
      </c>
      <c r="F2" s="8" t="inlineStr">
        <is>
          <t>DEBE</t>
        </is>
      </c>
      <c r="G2" s="8" t="inlineStr">
        <is>
          <t>Estático</t>
        </is>
      </c>
      <c r="H2" s="12" t="inlineStr">
        <is>
          <t>NO_CUMPLE</t>
        </is>
      </c>
      <c r="I2" s="8" t="inlineStr">
        <is>
          <t>Alta</t>
        </is>
      </c>
      <c r="J2" s="20">
        <f>IFERROR(IF(ISNUMBER(VLOOKUP(H2,Referencia!$A$5:$C$10,3,FALSE)),VLOOKUP(H2,Referencia!$A$5:$C$10,3,FALSE),""),"")</f>
        <v/>
      </c>
      <c r="K2" s="4" t="inlineStr">
        <is>
          <t>src/app/core/services/auth.service.ts:29 — El login del frontend usa el grant_type=password (Resource Owner Password Credentials) contra /protocol/openid-connect/token, no Authorization Code + PKCE.</t>
        </is>
      </c>
      <c r="L2" s="4" t="inlineStr">
        <is>
          <t>El estandar exige Authorization Code con PKCE (S256) en el cliente publico y prohibe el flujo de password. Correccion: migrar el login a keycloak-js/oidc-client con responseType 'code' y pkceMethod 'S256' (el realm ya tiene el cliente publico prs-frontend).</t>
        </is>
      </c>
      <c r="M2" s="4" t="inlineStr">
        <is>
          <t>Migrar el login del frontend a Authorization Code con PKCE (keycloak-js u oidc-client) y desactivar el grant por password del cliente publico en Keycloak.</t>
        </is>
      </c>
      <c r="N2" s="21" t="inlineStr"/>
      <c r="O2" s="22" t="n"/>
      <c r="P2" s="21" t="inlineStr">
        <is>
          <t>Abierto</t>
        </is>
      </c>
    </row>
    <row r="3">
      <c r="A3" s="8" t="inlineStr">
        <is>
          <t>web-fideinexus</t>
        </is>
      </c>
      <c r="B3" s="8" t="inlineStr">
        <is>
          <t>frontend</t>
        </is>
      </c>
      <c r="C3" s="8" t="inlineStr">
        <is>
          <t>SEC-004</t>
        </is>
      </c>
      <c r="D3" s="4" t="inlineStr">
        <is>
          <t>Validación de tokens JWT</t>
        </is>
      </c>
      <c r="E3" s="4" t="inlineStr">
        <is>
          <t>Identidad y autenticación</t>
        </is>
      </c>
      <c r="F3" s="8" t="inlineStr">
        <is>
          <t>DEBE</t>
        </is>
      </c>
      <c r="G3" s="8" t="inlineStr">
        <is>
          <t>Mixto</t>
        </is>
      </c>
      <c r="H3" s="12" t="inlineStr">
        <is>
          <t>PARCIAL</t>
        </is>
      </c>
      <c r="I3" s="8" t="inlineStr">
        <is>
          <t>Crítica</t>
        </is>
      </c>
      <c r="J3" s="20">
        <f>IFERROR(IF(ISNUMBER(VLOOKUP(H3,Referencia!$A$5:$C$10,3,FALSE)),VLOOKUP(H3,Referencia!$A$5:$C$10,3,FALSE),""),"")</f>
        <v/>
      </c>
      <c r="K3" s="4" t="inlineStr">
        <is>
          <t>src/app/core/services/auth.service.ts:135 — El frontend solo decodifica el JWT (jwt-decode) para leer el tenant y los roles; no firma ni valida la firma: eso lo hace cada microservicio.</t>
        </is>
      </c>
      <c r="L3" s="4" t="inlineStr">
        <is>
          <t>La validacion criptografica esta en el backend (resource server); el frontend solo lee claims, que es lo correcto para una SPA.</t>
        </is>
      </c>
      <c r="M3" s="4" t="inlineStr">
        <is>
          <t>No es un fallo del frontend: la validacion criptografica corresponde al backend. Documentar que el frontend solo lee claims.</t>
        </is>
      </c>
      <c r="N3" s="21" t="inlineStr"/>
      <c r="O3" s="22" t="n"/>
      <c r="P3" s="21" t="inlineStr">
        <is>
          <t>Abierto</t>
        </is>
      </c>
    </row>
    <row r="4">
      <c r="A4" s="8" t="inlineStr">
        <is>
          <t>web-fideinexus</t>
        </is>
      </c>
      <c r="B4" s="8" t="inlineStr">
        <is>
          <t>frontend</t>
        </is>
      </c>
      <c r="C4" s="8" t="inlineStr">
        <is>
          <t>SEC-005</t>
        </is>
      </c>
      <c r="D4" s="4" t="inlineStr">
        <is>
          <t>Autorización en backend</t>
        </is>
      </c>
      <c r="E4" s="4" t="inlineStr">
        <is>
          <t>Autorización y roles</t>
        </is>
      </c>
      <c r="F4" s="8" t="inlineStr">
        <is>
          <t>DEBE</t>
        </is>
      </c>
      <c r="G4" s="8" t="inlineStr">
        <is>
          <t>Estático</t>
        </is>
      </c>
      <c r="H4" s="12" t="inlineStr">
        <is>
          <t>PARCIAL</t>
        </is>
      </c>
      <c r="I4" s="8" t="inlineStr">
        <is>
          <t>Crítica</t>
        </is>
      </c>
      <c r="J4" s="20">
        <f>IFERROR(IF(ISNUMBER(VLOOKUP(H4,Referencia!$A$5:$C$10,3,FALSE)),VLOOKUP(H4,Referencia!$A$5:$C$10,3,FALSE),""),"")</f>
        <v/>
      </c>
      <c r="K4" s="4" t="inlineStr">
        <is>
          <t>src/app/core/guards/auth.guard.ts:10 — El frontend tiene guard de autenticacion y de tenant, y oculta acciones por rol (canManage/canApprove).</t>
        </is>
      </c>
      <c r="L4" s="4" t="inlineStr">
        <is>
          <t>Es una capa de UX: la autorizacion real esta en los microservicios (SEC-005 de cada microservicio, CUMPLE).</t>
        </is>
      </c>
      <c r="M4" s="4" t="inlineStr">
        <is>
          <t>Correcto: es una capa de UX. La autorizacion real esta en cada microservicio (ver SEC-005 de los microservicios).</t>
        </is>
      </c>
      <c r="N4" s="21" t="inlineStr"/>
      <c r="O4" s="22" t="n"/>
      <c r="P4" s="21" t="inlineStr">
        <is>
          <t>Abierto</t>
        </is>
      </c>
    </row>
    <row r="5">
      <c r="A5" s="8" t="inlineStr">
        <is>
          <t>web-fideinexus</t>
        </is>
      </c>
      <c r="B5" s="8" t="inlineStr">
        <is>
          <t>frontend</t>
        </is>
      </c>
      <c r="C5" s="8" t="inlineStr">
        <is>
          <t>SEC-009</t>
        </is>
      </c>
      <c r="D5" s="4" t="inlineStr">
        <is>
          <t>Filtro obligatorio por tenant en datos</t>
        </is>
      </c>
      <c r="E5" s="4" t="inlineStr">
        <is>
          <t>Aislamiento multi-tenant</t>
        </is>
      </c>
      <c r="F5" s="8" t="inlineStr">
        <is>
          <t>DEBE</t>
        </is>
      </c>
      <c r="G5" s="8" t="inlineStr">
        <is>
          <t>Estático</t>
        </is>
      </c>
      <c r="H5" s="12" t="inlineStr">
        <is>
          <t>PARCIAL</t>
        </is>
      </c>
      <c r="I5" s="8" t="inlineStr">
        <is>
          <t>Crítica</t>
        </is>
      </c>
      <c r="J5" s="20">
        <f>IFERROR(IF(ISNUMBER(VLOOKUP(H5,Referencia!$A$5:$C$10,3,FALSE)),VLOOKUP(H5,Referencia!$A$5:$C$10,3,FALSE),""),"")</f>
        <v/>
      </c>
      <c r="K5" s="4" t="inlineStr">
        <is>
          <t>src/app/features/(tenant)/solicitudes/services/:0 — El frontend envia ?tenantId= en las lecturas, pero quien acota de verdad es el backend (SEC-009 de los microservicios: CUMPLE).</t>
        </is>
      </c>
      <c r="L5" s="4" t="inlineStr">
        <is>
          <t>El filtro real esta en el backend.</t>
        </is>
      </c>
      <c r="M5" s="4" t="inlineStr">
        <is>
          <t>Correcto: el filtro real esta en el backend; el frontend puede omitir el tenantId en las lecturas.</t>
        </is>
      </c>
      <c r="N5" s="21" t="inlineStr"/>
      <c r="O5" s="22" t="n"/>
      <c r="P5" s="21" t="inlineStr">
        <is>
          <t>Abierto</t>
        </is>
      </c>
    </row>
    <row r="6">
      <c r="A6" s="8" t="inlineStr">
        <is>
          <t>web-fideinexus</t>
        </is>
      </c>
      <c r="B6" s="8" t="inlineStr">
        <is>
          <t>frontend</t>
        </is>
      </c>
      <c r="C6" s="8" t="inlineStr">
        <is>
          <t>SEC-020</t>
        </is>
      </c>
      <c r="D6" s="4" t="inlineStr">
        <is>
          <t>Control de pertenencia sobre recursos</t>
        </is>
      </c>
      <c r="E6" s="4" t="inlineStr">
        <is>
          <t>Integridad transversal</t>
        </is>
      </c>
      <c r="F6" s="8" t="inlineStr">
        <is>
          <t>DEBE</t>
        </is>
      </c>
      <c r="G6" s="8" t="inlineStr">
        <is>
          <t>Mixto</t>
        </is>
      </c>
      <c r="H6" s="12" t="inlineStr">
        <is>
          <t>PARCIAL</t>
        </is>
      </c>
      <c r="I6" s="8" t="inlineStr">
        <is>
          <t>Crítica</t>
        </is>
      </c>
      <c r="J6" s="20">
        <f>IFERROR(IF(ISNUMBER(VLOOKUP(H6,Referencia!$A$5:$C$10,3,FALSE)),VLOOKUP(H6,Referencia!$A$5:$C$10,3,FALSE),""),"")</f>
        <v/>
      </c>
      <c r="K6" s="4" t="inlineStr">
        <is>
          <t>src/app/core/guards/auth.guard.ts:20 — El guard valida la pertenencia de parroquia al navegar; el control de pertenencia del recurso se aplica en el backend.</t>
        </is>
      </c>
      <c r="L6" s="4" t="inlineStr">
        <is>
          <t>El control fuerte esta en el microservicio (SEC-020: CUMPLE).</t>
        </is>
      </c>
      <c r="M6" s="4" t="inlineStr">
        <is>
          <t>Correcto: el control fuerte de pertenencia esta en el microservicio (ver SEC-020).</t>
        </is>
      </c>
      <c r="N6" s="21" t="inlineStr"/>
      <c r="O6" s="22" t="n"/>
      <c r="P6" s="21" t="inlineStr">
        <is>
          <t>Abierto</t>
        </is>
      </c>
    </row>
    <row r="7">
      <c r="A7" s="8" t="inlineStr">
        <is>
          <t>gateway</t>
        </is>
      </c>
      <c r="B7" s="8" t="inlineStr">
        <is>
          <t>gateway</t>
        </is>
      </c>
      <c r="C7" s="8" t="inlineStr">
        <is>
          <t>SEC-016</t>
        </is>
      </c>
      <c r="D7" s="4" t="inlineStr">
        <is>
          <t>Validación de entrada</t>
        </is>
      </c>
      <c r="E7" s="4" t="inlineStr">
        <is>
          <t>Datos, secretos y configuración</t>
        </is>
      </c>
      <c r="F7" s="8" t="inlineStr">
        <is>
          <t>DEBE</t>
        </is>
      </c>
      <c r="G7" s="8" t="inlineStr">
        <is>
          <t>Mixto</t>
        </is>
      </c>
      <c r="H7" s="12" t="inlineStr">
        <is>
          <t>PARCIAL</t>
        </is>
      </c>
      <c r="I7" s="8" t="inlineStr">
        <is>
          <t>Alta</t>
        </is>
      </c>
      <c r="J7" s="20">
        <f>IFERROR(IF(ISNUMBER(VLOOKUP(H7,Referencia!$A$5:$C$10,3,FALSE)),VLOOKUP(H7,Referencia!$A$5:$C$10,3,FALSE),""),"")</f>
        <v/>
      </c>
      <c r="K7" s="4" t="inlineStr">
        <is>
          <t>src/main/java/:0 — El gateway no valida el cuerpo de las peticiones: delega la validacion en el microservicio (que la tiene con @Valid).</t>
        </is>
      </c>
      <c r="L7" s="4" t="inlineStr">
        <is>
          <t>La validacion de formato vive en el microservicio, que es donde tiene el contrato.</t>
        </is>
      </c>
      <c r="M7" s="4" t="inlineStr">
        <is>
          <t>Correcto: el gateway no valida el cuerpo; la validacion de formato vive en el microservicio, que tiene el contrato.</t>
        </is>
      </c>
      <c r="N7" s="21" t="inlineStr"/>
      <c r="O7" s="22" t="n"/>
      <c r="P7" s="21" t="inlineStr">
        <is>
          <t>Abierto</t>
        </is>
      </c>
    </row>
    <row r="8">
      <c r="A8" s="8" t="inlineStr">
        <is>
          <t>gateway</t>
        </is>
      </c>
      <c r="B8" s="8" t="inlineStr">
        <is>
          <t>gateway</t>
        </is>
      </c>
      <c r="C8" s="8" t="inlineStr">
        <is>
          <t>SEC-019</t>
        </is>
      </c>
      <c r="D8" s="4" t="inlineStr">
        <is>
          <t>Auditoría de operaciones sensibles</t>
        </is>
      </c>
      <c r="E8" s="4" t="inlineStr">
        <is>
          <t>Errores, logs y auditoría</t>
        </is>
      </c>
      <c r="F8" s="8" t="inlineStr">
        <is>
          <t>DEBE</t>
        </is>
      </c>
      <c r="G8" s="8" t="inlineStr">
        <is>
          <t>Estático</t>
        </is>
      </c>
      <c r="H8" s="12" t="inlineStr">
        <is>
          <t>PARCIAL</t>
        </is>
      </c>
      <c r="I8" s="8" t="inlineStr">
        <is>
          <t>Media</t>
        </is>
      </c>
      <c r="J8" s="20">
        <f>IFERROR(IF(ISNUMBER(VLOOKUP(H8,Referencia!$A$5:$C$10,3,FALSE)),VLOOKUP(H8,Referencia!$A$5:$C$10,3,FALSE),""),"")</f>
        <v/>
      </c>
      <c r="K8" s="4" t="inlineStr">
        <is>
          <t>src/main/java/:0 — El gateway no lleva bitacora de auditoria propia; el rastro queda en los microservicios.</t>
        </is>
      </c>
      <c r="L8" s="4" t="inlineStr">
        <is>
          <t>La auditoria vive en el dominio.</t>
        </is>
      </c>
      <c r="M8" s="4" t="inlineStr">
        <is>
          <t>Registrar actor, fecha, recurso y resultado en las operaciones sensibles (aprobacion, cambio de estado, eliminacion) mediante una bitacora o eventos de auditoria.</t>
        </is>
      </c>
      <c r="N8" s="21" t="inlineStr"/>
      <c r="O8" s="22" t="n"/>
      <c r="P8" s="21" t="inlineStr">
        <is>
          <t>Abierto</t>
        </is>
      </c>
    </row>
    <row r="9">
      <c r="A9" s="8" t="inlineStr">
        <is>
          <t>web-fideinexus</t>
        </is>
      </c>
      <c r="B9" s="8" t="inlineStr">
        <is>
          <t>frontend</t>
        </is>
      </c>
      <c r="C9" s="8" t="inlineStr">
        <is>
          <t>SEC-019</t>
        </is>
      </c>
      <c r="D9" s="4" t="inlineStr">
        <is>
          <t>Auditoría de operaciones sensibles</t>
        </is>
      </c>
      <c r="E9" s="4" t="inlineStr">
        <is>
          <t>Errores, logs y auditoría</t>
        </is>
      </c>
      <c r="F9" s="8" t="inlineStr">
        <is>
          <t>DEBE</t>
        </is>
      </c>
      <c r="G9" s="8" t="inlineStr">
        <is>
          <t>Estático</t>
        </is>
      </c>
      <c r="H9" s="12" t="inlineStr">
        <is>
          <t>PARCIAL</t>
        </is>
      </c>
      <c r="I9" s="8" t="inlineStr">
        <is>
          <t>Media</t>
        </is>
      </c>
      <c r="J9" s="20">
        <f>IFERROR(IF(ISNUMBER(VLOOKUP(H9,Referencia!$A$5:$C$10,3,FALSE)),VLOOKUP(H9,Referencia!$A$5:$C$10,3,FALSE),""),"")</f>
        <v/>
      </c>
      <c r="K9" s="4" t="inlineStr">
        <is>
          <t>src/app/features/(tenant)/solicitudes/components/solicitud-list/solicitud-list.ts:282 — La UI muestra avisos de exito/error, pero no hay bitacora de auditoria de las acciones del usuario (quien aprobo, quien elimino).</t>
        </is>
      </c>
      <c r="L9" s="4" t="inlineStr">
        <is>
          <t>El rastro de auditoria depende de los microservicios (created_at/updated_at y signed_by_user_id).</t>
        </is>
      </c>
      <c r="M9" s="4" t="inlineStr">
        <is>
          <t>Registrar actor, fecha, recurso y resultado en las operaciones sensibles (aprobacion, cambio de estado, eliminacion) mediante una bitacora o eventos de auditoria.</t>
        </is>
      </c>
      <c r="N9" s="21" t="inlineStr"/>
      <c r="O9" s="22" t="n"/>
      <c r="P9" s="21" t="inlineStr">
        <is>
          <t>Abierto</t>
        </is>
      </c>
    </row>
    <row r="10">
      <c r="A10" s="8" t="inlineStr">
        <is>
          <t>web-fideinexus</t>
        </is>
      </c>
      <c r="B10" s="8" t="inlineStr">
        <is>
          <t>frontend</t>
        </is>
      </c>
      <c r="C10" s="8" t="inlineStr">
        <is>
          <t>SEC-022</t>
        </is>
      </c>
      <c r="D10" s="4" t="inlineStr">
        <is>
          <t>Idempotencia y control de concurrencia</t>
        </is>
      </c>
      <c r="E10" s="4" t="inlineStr">
        <is>
          <t>Integridad transversal</t>
        </is>
      </c>
      <c r="F10" s="8" t="inlineStr">
        <is>
          <t>DEBERÍA</t>
        </is>
      </c>
      <c r="G10" s="8" t="inlineStr">
        <is>
          <t>Mixto</t>
        </is>
      </c>
      <c r="H10" s="12" t="inlineStr">
        <is>
          <t>PARCIAL</t>
        </is>
      </c>
      <c r="I10" s="8" t="inlineStr">
        <is>
          <t>Media</t>
        </is>
      </c>
      <c r="J10" s="20">
        <f>IFERROR(IF(ISNUMBER(VLOOKUP(H10,Referencia!$A$5:$C$10,3,FALSE)),VLOOKUP(H10,Referencia!$A$5:$C$10,3,FALSE),""),"")</f>
        <v/>
      </c>
      <c r="K10" s="4" t="inlineStr">
        <is>
          <t>src/app/features/(tenant)/solicitudes/components/solicitud-form/solicitud-form.ts:603 — El formulario bloquea el doble submit (saveInProgress) pero no hay clave de idempotencia en el alta.</t>
        </is>
      </c>
      <c r="L10" s="4" t="inlineStr">
        <is>
          <t>Se evita el doble click, pero un reintento de red podria duplicar la solicitud.</t>
        </is>
      </c>
      <c r="M10" s="4" t="inlineStr">
        <is>
          <t>Agregar una clave de idempotencia (Idempotency-Key) o una restriccion UNIQUE por clave natural en el alta de solicitudes y participantes.</t>
        </is>
      </c>
      <c r="N10" s="21" t="inlineStr"/>
      <c r="O10" s="22" t="n"/>
      <c r="P10" s="21" t="inlineStr">
        <is>
          <t>Abierto</t>
        </is>
      </c>
    </row>
    <row r="11">
      <c r="A11" s="8" t="inlineStr">
        <is>
          <t>svc-celebration</t>
        </is>
      </c>
      <c r="B11" s="8" t="inlineStr">
        <is>
          <t>microservicio</t>
        </is>
      </c>
      <c r="C11" s="8" t="inlineStr">
        <is>
          <t>SEC-015</t>
        </is>
      </c>
      <c r="D11" s="4" t="inlineStr">
        <is>
          <t>Transporte seguro (HTTPS/TLS)</t>
        </is>
      </c>
      <c r="E11" s="4" t="inlineStr">
        <is>
          <t>Datos, secretos y configuración</t>
        </is>
      </c>
      <c r="F11" s="8" t="inlineStr">
        <is>
          <t>DEBE</t>
        </is>
      </c>
      <c r="G11" s="8" t="inlineStr">
        <is>
          <t>Mixto</t>
        </is>
      </c>
      <c r="H11" s="12" t="inlineStr">
        <is>
          <t>REQUIERE_REVISION_MANUAL</t>
        </is>
      </c>
      <c r="I11" s="8" t="inlineStr"/>
      <c r="J11" s="20">
        <f>IFERROR(IF(ISNUMBER(VLOOKUP(H11,Referencia!$A$5:$C$10,3,FALSE)),VLOOKUP(H11,Referencia!$A$5:$C$10,3,FALSE),""),"")</f>
        <v/>
      </c>
      <c r="K11" s="4" t="inlineStr">
        <is>
          <t>src/main/resources/application.yml:23 — La URL de la base y los emisores llegan por variables de entorno; el valor de produccion no es inspeccionable desde el repositorio</t>
        </is>
      </c>
      <c r="L11" s="4" t="inlineStr">
        <is>
          <t>La configuracion productiva (URLs https, TLS de la BD) se inyecta en el despliegue y no se pudo verificar desde el codigo.</t>
        </is>
      </c>
      <c r="M11" s="4" t="inlineStr">
        <is>
          <t>Confirmar en el despliegue de produccion que la URL de la base lleva sslmode=require y que el IdP se sirve por https.</t>
        </is>
      </c>
      <c r="N11" s="21" t="inlineStr"/>
      <c r="O11" s="22" t="n"/>
      <c r="P11" s="21" t="n"/>
    </row>
    <row r="12">
      <c r="A12" s="8" t="inlineStr">
        <is>
          <t>svc-certificate</t>
        </is>
      </c>
      <c r="B12" s="8" t="inlineStr">
        <is>
          <t>microservicio</t>
        </is>
      </c>
      <c r="C12" s="8" t="inlineStr">
        <is>
          <t>SEC-015</t>
        </is>
      </c>
      <c r="D12" s="4" t="inlineStr">
        <is>
          <t>Transporte seguro (HTTPS/TLS)</t>
        </is>
      </c>
      <c r="E12" s="4" t="inlineStr">
        <is>
          <t>Datos, secretos y configuración</t>
        </is>
      </c>
      <c r="F12" s="8" t="inlineStr">
        <is>
          <t>DEBE</t>
        </is>
      </c>
      <c r="G12" s="8" t="inlineStr">
        <is>
          <t>Mixto</t>
        </is>
      </c>
      <c r="H12" s="12" t="inlineStr">
        <is>
          <t>REQUIERE_REVISION_MANUAL</t>
        </is>
      </c>
      <c r="I12" s="8" t="inlineStr"/>
      <c r="J12" s="20">
        <f>IFERROR(IF(ISNUMBER(VLOOKUP(H12,Referencia!$A$5:$C$10,3,FALSE)),VLOOKUP(H12,Referencia!$A$5:$C$10,3,FALSE),""),"")</f>
        <v/>
      </c>
      <c r="K12" s="4" t="inlineStr">
        <is>
          <t>src/main/resources/application.yml:23 — La URL de la base y los emisores llegan por variables de entorno; el valor de produccion no es inspeccionable desde el repositorio</t>
        </is>
      </c>
      <c r="L12" s="4" t="inlineStr">
        <is>
          <t>La configuracion productiva (URLs https, TLS de la BD) se inyecta en el despliegue y no se pudo verificar desde el codigo.</t>
        </is>
      </c>
      <c r="M12" s="4" t="inlineStr">
        <is>
          <t>Confirmar en el despliegue de produccion que la URL de la base lleva sslmode=require y que el IdP se sirve por https.</t>
        </is>
      </c>
      <c r="N12" s="21" t="inlineStr"/>
      <c r="O12" s="22" t="n"/>
      <c r="P12" s="21" t="n"/>
    </row>
    <row r="13">
      <c r="A13" s="8" t="inlineStr">
        <is>
          <t>svc-preparation</t>
        </is>
      </c>
      <c r="B13" s="8" t="inlineStr">
        <is>
          <t>microservicio</t>
        </is>
      </c>
      <c r="C13" s="8" t="inlineStr">
        <is>
          <t>SEC-015</t>
        </is>
      </c>
      <c r="D13" s="4" t="inlineStr">
        <is>
          <t>Transporte seguro (HTTPS/TLS)</t>
        </is>
      </c>
      <c r="E13" s="4" t="inlineStr">
        <is>
          <t>Datos, secretos y configuración</t>
        </is>
      </c>
      <c r="F13" s="8" t="inlineStr">
        <is>
          <t>DEBE</t>
        </is>
      </c>
      <c r="G13" s="8" t="inlineStr">
        <is>
          <t>Mixto</t>
        </is>
      </c>
      <c r="H13" s="12" t="inlineStr">
        <is>
          <t>REQUIERE_REVISION_MANUAL</t>
        </is>
      </c>
      <c r="I13" s="8" t="inlineStr"/>
      <c r="J13" s="20">
        <f>IFERROR(IF(ISNUMBER(VLOOKUP(H13,Referencia!$A$5:$C$10,3,FALSE)),VLOOKUP(H13,Referencia!$A$5:$C$10,3,FALSE),""),"")</f>
        <v/>
      </c>
      <c r="K13" s="4" t="inlineStr">
        <is>
          <t>src/main/resources/application.yml:23 — La URL de la base y los emisores llegan por variables de entorno; el valor de produccion no es inspeccionable desde el repositorio</t>
        </is>
      </c>
      <c r="L13" s="4" t="inlineStr">
        <is>
          <t>La configuracion productiva (URLs https, TLS de la BD) se inyecta en el despliegue y no se pudo verificar desde el codigo.</t>
        </is>
      </c>
      <c r="M13" s="4" t="inlineStr">
        <is>
          <t>Confirmar en el despliegue de produccion que la URL de la base lleva sslmode=require y que el IdP se sirve por https.</t>
        </is>
      </c>
      <c r="N13" s="21" t="inlineStr"/>
      <c r="O13" s="22" t="n"/>
      <c r="P13" s="21" t="n"/>
    </row>
    <row r="14">
      <c r="A14" s="8" t="inlineStr">
        <is>
          <t>svc-requests</t>
        </is>
      </c>
      <c r="B14" s="8" t="inlineStr">
        <is>
          <t>microservicio</t>
        </is>
      </c>
      <c r="C14" s="8" t="inlineStr">
        <is>
          <t>SEC-015</t>
        </is>
      </c>
      <c r="D14" s="4" t="inlineStr">
        <is>
          <t>Transporte seguro (HTTPS/TLS)</t>
        </is>
      </c>
      <c r="E14" s="4" t="inlineStr">
        <is>
          <t>Datos, secretos y configuración</t>
        </is>
      </c>
      <c r="F14" s="8" t="inlineStr">
        <is>
          <t>DEBE</t>
        </is>
      </c>
      <c r="G14" s="8" t="inlineStr">
        <is>
          <t>Mixto</t>
        </is>
      </c>
      <c r="H14" s="12" t="inlineStr">
        <is>
          <t>REQUIERE_REVISION_MANUAL</t>
        </is>
      </c>
      <c r="I14" s="8" t="inlineStr"/>
      <c r="J14" s="20">
        <f>IFERROR(IF(ISNUMBER(VLOOKUP(H14,Referencia!$A$5:$C$10,3,FALSE)),VLOOKUP(H14,Referencia!$A$5:$C$10,3,FALSE),""),"")</f>
        <v/>
      </c>
      <c r="K14" s="4" t="inlineStr">
        <is>
          <t>src/main/resources/application.yml:23 — La URL de la base y los emisores llegan por variables de entorno; el valor de produccion no es inspeccionable desde el repositorio</t>
        </is>
      </c>
      <c r="L14" s="4" t="inlineStr">
        <is>
          <t>La configuracion productiva (URLs https, TLS de la BD) se inyecta en el despliegue y no se pudo verificar desde el codigo.</t>
        </is>
      </c>
      <c r="M14" s="4" t="inlineStr">
        <is>
          <t>Confirmar en el despliegue de produccion que la URL de la base lleva sslmode=require y que el IdP se sirve por https.</t>
        </is>
      </c>
      <c r="N14" s="21" t="inlineStr"/>
      <c r="O14" s="22" t="n"/>
      <c r="P14" s="21" t="n"/>
    </row>
    <row r="15">
      <c r="A15" s="8" t="inlineStr">
        <is>
          <t>gateway</t>
        </is>
      </c>
      <c r="B15" s="8" t="inlineStr">
        <is>
          <t>gateway</t>
        </is>
      </c>
      <c r="C15" s="8" t="inlineStr">
        <is>
          <t>SEC-001</t>
        </is>
      </c>
      <c r="D15" s="4" t="inlineStr">
        <is>
          <t>Proveedor de identidad</t>
        </is>
      </c>
      <c r="E15" s="4" t="inlineStr">
        <is>
          <t>Identidad y autenticación</t>
        </is>
      </c>
      <c r="F15" s="8" t="inlineStr">
        <is>
          <t>DEBE</t>
        </is>
      </c>
      <c r="G15" s="8" t="inlineStr">
        <is>
          <t>Mixto</t>
        </is>
      </c>
      <c r="H15" s="12" t="inlineStr">
        <is>
          <t>CUMPLE</t>
        </is>
      </c>
      <c r="I15" s="8" t="inlineStr"/>
      <c r="J15" s="20">
        <f>IFERROR(IF(ISNUMBER(VLOOKUP(H15,Referencia!$A$5:$C$10,3,FALSE)),VLOOKUP(H15,Referencia!$A$5:$C$10,3,FALSE),""),"")</f>
        <v/>
      </c>
      <c r="K15" s="4" t="inlineStr">
        <is>
          <t>src/main/resources/application-dev.yml:0 — El gateway valida los tokens contra el realm de Keycloak del ambiente (issuer-uri/jwk-set-uri por variable de entorno).</t>
        </is>
      </c>
      <c r="L15" s="4" t="inlineStr">
        <is>
          <t>IdP centralizado.</t>
        </is>
      </c>
      <c r="M15" s="4" t="inlineStr"/>
      <c r="N15" s="21" t="inlineStr"/>
      <c r="O15" s="22" t="n"/>
      <c r="P15" s="21" t="n"/>
    </row>
    <row r="16">
      <c r="A16" s="8" t="inlineStr">
        <is>
          <t>svc-celebration</t>
        </is>
      </c>
      <c r="B16" s="8" t="inlineStr">
        <is>
          <t>microservicio</t>
        </is>
      </c>
      <c r="C16" s="8" t="inlineStr">
        <is>
          <t>SEC-001</t>
        </is>
      </c>
      <c r="D16" s="4" t="inlineStr">
        <is>
          <t>Proveedor de identidad</t>
        </is>
      </c>
      <c r="E16" s="4" t="inlineStr">
        <is>
          <t>Identidad y autenticación</t>
        </is>
      </c>
      <c r="F16" s="8" t="inlineStr">
        <is>
          <t>DEBE</t>
        </is>
      </c>
      <c r="G16" s="8" t="inlineStr">
        <is>
          <t>Mixto</t>
        </is>
      </c>
      <c r="H16" s="12" t="inlineStr">
        <is>
          <t>CUMPLE</t>
        </is>
      </c>
      <c r="I16" s="8" t="inlineStr"/>
      <c r="J16" s="20">
        <f>IFERROR(IF(ISNUMBER(VLOOKUP(H16,Referencia!$A$5:$C$10,3,FALSE)),VLOOKUP(H16,Referencia!$A$5:$C$10,3,FALSE),""),"")</f>
        <v/>
      </c>
      <c r="K16" s="4" t="inlineStr">
        <is>
          <t>src/main/resources/application.yml:44 — issuer-uri: ${IDP_ISSUER_URI} (Keycloak por variable de ambiente)
src/main/resources/application.yml:45 — jwk-set-uri: ${IDP_JWK_SET_URI}</t>
        </is>
      </c>
      <c r="L16" s="4" t="inlineStr">
        <is>
          <t>El IdP es Keycloak y la configuracion esta separada por ambiente (variables de entorno por perfil).</t>
        </is>
      </c>
      <c r="M16" s="4" t="inlineStr"/>
      <c r="N16" s="21" t="inlineStr"/>
      <c r="O16" s="22" t="n"/>
      <c r="P16" s="21" t="n"/>
    </row>
    <row r="17">
      <c r="A17" s="8" t="inlineStr">
        <is>
          <t>svc-certificate</t>
        </is>
      </c>
      <c r="B17" s="8" t="inlineStr">
        <is>
          <t>microservicio</t>
        </is>
      </c>
      <c r="C17" s="8" t="inlineStr">
        <is>
          <t>SEC-001</t>
        </is>
      </c>
      <c r="D17" s="4" t="inlineStr">
        <is>
          <t>Proveedor de identidad</t>
        </is>
      </c>
      <c r="E17" s="4" t="inlineStr">
        <is>
          <t>Identidad y autenticación</t>
        </is>
      </c>
      <c r="F17" s="8" t="inlineStr">
        <is>
          <t>DEBE</t>
        </is>
      </c>
      <c r="G17" s="8" t="inlineStr">
        <is>
          <t>Mixto</t>
        </is>
      </c>
      <c r="H17" s="12" t="inlineStr">
        <is>
          <t>CUMPLE</t>
        </is>
      </c>
      <c r="I17" s="8" t="inlineStr"/>
      <c r="J17" s="20">
        <f>IFERROR(IF(ISNUMBER(VLOOKUP(H17,Referencia!$A$5:$C$10,3,FALSE)),VLOOKUP(H17,Referencia!$A$5:$C$10,3,FALSE),""),"")</f>
        <v/>
      </c>
      <c r="K17" s="4" t="inlineStr">
        <is>
          <t>src/main/resources/application.yml:44 — issuer-uri: ${IDP_ISSUER_URI} (Keycloak por variable de ambiente)
src/main/resources/application.yml:45 — jwk-set-uri: ${IDP_JWK_SET_URI}</t>
        </is>
      </c>
      <c r="L17" s="4" t="inlineStr">
        <is>
          <t>El IdP es Keycloak y la configuracion esta separada por ambiente (variables de entorno por perfil).</t>
        </is>
      </c>
      <c r="M17" s="4" t="inlineStr"/>
      <c r="N17" s="21" t="inlineStr"/>
      <c r="O17" s="22" t="n"/>
      <c r="P17" s="21" t="n"/>
    </row>
    <row r="18">
      <c r="A18" s="8" t="inlineStr">
        <is>
          <t>svc-preparation</t>
        </is>
      </c>
      <c r="B18" s="8" t="inlineStr">
        <is>
          <t>microservicio</t>
        </is>
      </c>
      <c r="C18" s="8" t="inlineStr">
        <is>
          <t>SEC-001</t>
        </is>
      </c>
      <c r="D18" s="4" t="inlineStr">
        <is>
          <t>Proveedor de identidad</t>
        </is>
      </c>
      <c r="E18" s="4" t="inlineStr">
        <is>
          <t>Identidad y autenticación</t>
        </is>
      </c>
      <c r="F18" s="8" t="inlineStr">
        <is>
          <t>DEBE</t>
        </is>
      </c>
      <c r="G18" s="8" t="inlineStr">
        <is>
          <t>Mixto</t>
        </is>
      </c>
      <c r="H18" s="12" t="inlineStr">
        <is>
          <t>CUMPLE</t>
        </is>
      </c>
      <c r="I18" s="8" t="inlineStr"/>
      <c r="J18" s="20">
        <f>IFERROR(IF(ISNUMBER(VLOOKUP(H18,Referencia!$A$5:$C$10,3,FALSE)),VLOOKUP(H18,Referencia!$A$5:$C$10,3,FALSE),""),"")</f>
        <v/>
      </c>
      <c r="K18" s="4" t="inlineStr">
        <is>
          <t>src/main/resources/application.yml:44 — issuer-uri: ${IDP_ISSUER_URI} (Keycloak por variable de ambiente)
src/main/resources/application.yml:45 — jwk-set-uri: ${IDP_JWK_SET_URI}</t>
        </is>
      </c>
      <c r="L18" s="4" t="inlineStr">
        <is>
          <t>El IdP es Keycloak y la configuracion esta separada por ambiente (variables de entorno por perfil).</t>
        </is>
      </c>
      <c r="M18" s="4" t="inlineStr"/>
      <c r="N18" s="21" t="inlineStr"/>
      <c r="O18" s="22" t="n"/>
      <c r="P18" s="21" t="n"/>
    </row>
    <row r="19">
      <c r="A19" s="8" t="inlineStr">
        <is>
          <t>svc-requests</t>
        </is>
      </c>
      <c r="B19" s="8" t="inlineStr">
        <is>
          <t>microservicio</t>
        </is>
      </c>
      <c r="C19" s="8" t="inlineStr">
        <is>
          <t>SEC-001</t>
        </is>
      </c>
      <c r="D19" s="4" t="inlineStr">
        <is>
          <t>Proveedor de identidad</t>
        </is>
      </c>
      <c r="E19" s="4" t="inlineStr">
        <is>
          <t>Identidad y autenticación</t>
        </is>
      </c>
      <c r="F19" s="8" t="inlineStr">
        <is>
          <t>DEBE</t>
        </is>
      </c>
      <c r="G19" s="8" t="inlineStr">
        <is>
          <t>Mixto</t>
        </is>
      </c>
      <c r="H19" s="12" t="inlineStr">
        <is>
          <t>CUMPLE</t>
        </is>
      </c>
      <c r="I19" s="8" t="inlineStr"/>
      <c r="J19" s="20">
        <f>IFERROR(IF(ISNUMBER(VLOOKUP(H19,Referencia!$A$5:$C$10,3,FALSE)),VLOOKUP(H19,Referencia!$A$5:$C$10,3,FALSE),""),"")</f>
        <v/>
      </c>
      <c r="K19" s="4" t="inlineStr">
        <is>
          <t>src/main/resources/application.yml:44 — issuer-uri: ${IDP_ISSUER_URI} (Keycloak por variable de ambiente)
src/main/resources/application.yml:45 — jwk-set-uri: ${IDP_JWK_SET_URI}</t>
        </is>
      </c>
      <c r="L19" s="4" t="inlineStr">
        <is>
          <t>El IdP es Keycloak y la configuracion esta separada por ambiente (variables de entorno por perfil).</t>
        </is>
      </c>
      <c r="M19" s="4" t="inlineStr"/>
      <c r="N19" s="21" t="inlineStr"/>
      <c r="O19" s="22" t="n"/>
      <c r="P19" s="21" t="n"/>
    </row>
    <row r="20">
      <c r="A20" s="8" t="inlineStr">
        <is>
          <t>web-fideinexus</t>
        </is>
      </c>
      <c r="B20" s="8" t="inlineStr">
        <is>
          <t>frontend</t>
        </is>
      </c>
      <c r="C20" s="8" t="inlineStr">
        <is>
          <t>SEC-001</t>
        </is>
      </c>
      <c r="D20" s="4" t="inlineStr">
        <is>
          <t>Proveedor de identidad</t>
        </is>
      </c>
      <c r="E20" s="4" t="inlineStr">
        <is>
          <t>Identidad y autenticación</t>
        </is>
      </c>
      <c r="F20" s="8" t="inlineStr">
        <is>
          <t>DEBE</t>
        </is>
      </c>
      <c r="G20" s="8" t="inlineStr">
        <is>
          <t>Mixto</t>
        </is>
      </c>
      <c r="H20" s="12" t="inlineStr">
        <is>
          <t>CUMPLE</t>
        </is>
      </c>
      <c r="I20" s="8" t="inlineStr"/>
      <c r="J20" s="20">
        <f>IFERROR(IF(ISNUMBER(VLOOKUP(H20,Referencia!$A$5:$C$10,3,FALSE)),VLOOKUP(H20,Referencia!$A$5:$C$10,3,FALSE),""),"")</f>
        <v/>
      </c>
      <c r="K20" s="4" t="inlineStr">
        <is>
          <t>src/app/core/services/auth.service.ts:12 — El frontend apunta al realm de Keycloak del ambiente (https://lab.vallegrande.edu.pe/keycloak-security/realms/prs-realm) leido de una constante de environment; la URL del IdP esta separada por ambiente.</t>
        </is>
      </c>
      <c r="L20" s="4" t="inlineStr">
        <is>
          <t>Keycloak como IdP centralizado.</t>
        </is>
      </c>
      <c r="M20" s="4" t="inlineStr"/>
      <c r="N20" s="21" t="inlineStr"/>
      <c r="O20" s="22" t="n"/>
      <c r="P20" s="21" t="n"/>
    </row>
    <row r="21">
      <c r="A21" s="8" t="inlineStr">
        <is>
          <t>gateway</t>
        </is>
      </c>
      <c r="B21" s="8" t="inlineStr">
        <is>
          <t>gateway</t>
        </is>
      </c>
      <c r="C21" s="8" t="inlineStr">
        <is>
          <t>SEC-002</t>
        </is>
      </c>
      <c r="D21" s="4" t="inlineStr">
        <is>
          <t>Protocolo OIDC sobre OAuth 2.0</t>
        </is>
      </c>
      <c r="E21" s="4" t="inlineStr">
        <is>
          <t>Identidad y autenticación</t>
        </is>
      </c>
      <c r="F21" s="8" t="inlineStr">
        <is>
          <t>DEBE</t>
        </is>
      </c>
      <c r="G21" s="8" t="inlineStr">
        <is>
          <t>Estático</t>
        </is>
      </c>
      <c r="H21" s="12" t="inlineStr">
        <is>
          <t>CUMPLE</t>
        </is>
      </c>
      <c r="I21" s="8" t="inlineStr"/>
      <c r="J21" s="20">
        <f>IFERROR(IF(ISNUMBER(VLOOKUP(H21,Referencia!$A$5:$C$10,3,FALSE)),VLOOKUP(H21,Referencia!$A$5:$C$10,3,FALSE),""),"")</f>
        <v/>
      </c>
      <c r="K21" s="4" t="inlineStr">
        <is>
          <t>src/main/java/:0 — El gateway no gestiona contrasenas de usuarios: solo valida y propaga el JWT.</t>
        </is>
      </c>
      <c r="L21" s="4" t="inlineStr">
        <is>
          <t>n/a en el gateway.</t>
        </is>
      </c>
      <c r="M21" s="4" t="inlineStr"/>
      <c r="N21" s="21" t="inlineStr"/>
      <c r="O21" s="22" t="n"/>
      <c r="P21" s="21" t="n"/>
    </row>
    <row r="22">
      <c r="A22" s="8" t="inlineStr">
        <is>
          <t>svc-celebration</t>
        </is>
      </c>
      <c r="B22" s="8" t="inlineStr">
        <is>
          <t>microservicio</t>
        </is>
      </c>
      <c r="C22" s="8" t="inlineStr">
        <is>
          <t>SEC-002</t>
        </is>
      </c>
      <c r="D22" s="4" t="inlineStr">
        <is>
          <t>Protocolo OIDC sobre OAuth 2.0</t>
        </is>
      </c>
      <c r="E22" s="4" t="inlineStr">
        <is>
          <t>Identidad y autenticación</t>
        </is>
      </c>
      <c r="F22" s="8" t="inlineStr">
        <is>
          <t>DEBE</t>
        </is>
      </c>
      <c r="G22" s="8" t="inlineStr">
        <is>
          <t>Estático</t>
        </is>
      </c>
      <c r="H22" s="12" t="inlineStr">
        <is>
          <t>CUMPLE</t>
        </is>
      </c>
      <c r="I22" s="8" t="inlineStr"/>
      <c r="J22" s="20">
        <f>IFERROR(IF(ISNUMBER(VLOOKUP(H22,Referencia!$A$5:$C$10,3,FALSE)),VLOOKUP(H22,Referencia!$A$5:$C$10,3,FALSE),""),"")</f>
        <v/>
      </c>
      <c r="K22" s="4" t="inlineStr">
        <is>
          <t>src/main/resources/application.yml:44 — No existe ningun endpoint de login en el microservicio: es resource server y no toca contrasenas</t>
        </is>
      </c>
      <c r="L22" s="4" t="inlineStr">
        <is>
          <t>El backend no gestiona contrasenas de usuarios finales; el unico login propio esta en el frontend (ver SEC-002 del componente web).</t>
        </is>
      </c>
      <c r="M22" s="4" t="inlineStr"/>
      <c r="N22" s="21" t="inlineStr"/>
      <c r="O22" s="22" t="n"/>
      <c r="P22" s="21" t="n"/>
    </row>
    <row r="23">
      <c r="A23" s="8" t="inlineStr">
        <is>
          <t>svc-certificate</t>
        </is>
      </c>
      <c r="B23" s="8" t="inlineStr">
        <is>
          <t>microservicio</t>
        </is>
      </c>
      <c r="C23" s="8" t="inlineStr">
        <is>
          <t>SEC-002</t>
        </is>
      </c>
      <c r="D23" s="4" t="inlineStr">
        <is>
          <t>Protocolo OIDC sobre OAuth 2.0</t>
        </is>
      </c>
      <c r="E23" s="4" t="inlineStr">
        <is>
          <t>Identidad y autenticación</t>
        </is>
      </c>
      <c r="F23" s="8" t="inlineStr">
        <is>
          <t>DEBE</t>
        </is>
      </c>
      <c r="G23" s="8" t="inlineStr">
        <is>
          <t>Estático</t>
        </is>
      </c>
      <c r="H23" s="12" t="inlineStr">
        <is>
          <t>CUMPLE</t>
        </is>
      </c>
      <c r="I23" s="8" t="inlineStr"/>
      <c r="J23" s="20">
        <f>IFERROR(IF(ISNUMBER(VLOOKUP(H23,Referencia!$A$5:$C$10,3,FALSE)),VLOOKUP(H23,Referencia!$A$5:$C$10,3,FALSE),""),"")</f>
        <v/>
      </c>
      <c r="K23" s="4" t="inlineStr">
        <is>
          <t>src/main/resources/application.yml:44 — No existe ningun endpoint de login en el microservicio: es resource server y no toca contrasenas</t>
        </is>
      </c>
      <c r="L23" s="4" t="inlineStr">
        <is>
          <t>El backend no gestiona contrasenas de usuarios finales; el unico login propio esta en el frontend (ver SEC-002 del componente web).</t>
        </is>
      </c>
      <c r="M23" s="4" t="inlineStr"/>
      <c r="N23" s="21" t="inlineStr"/>
      <c r="O23" s="22" t="n"/>
      <c r="P23" s="21" t="n"/>
    </row>
    <row r="24">
      <c r="A24" s="8" t="inlineStr">
        <is>
          <t>svc-preparation</t>
        </is>
      </c>
      <c r="B24" s="8" t="inlineStr">
        <is>
          <t>microservicio</t>
        </is>
      </c>
      <c r="C24" s="8" t="inlineStr">
        <is>
          <t>SEC-002</t>
        </is>
      </c>
      <c r="D24" s="4" t="inlineStr">
        <is>
          <t>Protocolo OIDC sobre OAuth 2.0</t>
        </is>
      </c>
      <c r="E24" s="4" t="inlineStr">
        <is>
          <t>Identidad y autenticación</t>
        </is>
      </c>
      <c r="F24" s="8" t="inlineStr">
        <is>
          <t>DEBE</t>
        </is>
      </c>
      <c r="G24" s="8" t="inlineStr">
        <is>
          <t>Estático</t>
        </is>
      </c>
      <c r="H24" s="12" t="inlineStr">
        <is>
          <t>CUMPLE</t>
        </is>
      </c>
      <c r="I24" s="8" t="inlineStr"/>
      <c r="J24" s="20">
        <f>IFERROR(IF(ISNUMBER(VLOOKUP(H24,Referencia!$A$5:$C$10,3,FALSE)),VLOOKUP(H24,Referencia!$A$5:$C$10,3,FALSE),""),"")</f>
        <v/>
      </c>
      <c r="K24" s="4" t="inlineStr">
        <is>
          <t>src/main/resources/application.yml:44 — No existe ningun endpoint de login en el microservicio: es resource server y no toca contrasenas</t>
        </is>
      </c>
      <c r="L24" s="4" t="inlineStr">
        <is>
          <t>El backend no gestiona contrasenas de usuarios finales; el unico login propio esta en el frontend (ver SEC-002 del componente web).</t>
        </is>
      </c>
      <c r="M24" s="4" t="inlineStr"/>
      <c r="N24" s="21" t="inlineStr"/>
      <c r="O24" s="22" t="n"/>
      <c r="P24" s="21" t="n"/>
    </row>
    <row r="25">
      <c r="A25" s="8" t="inlineStr">
        <is>
          <t>svc-requests</t>
        </is>
      </c>
      <c r="B25" s="8" t="inlineStr">
        <is>
          <t>microservicio</t>
        </is>
      </c>
      <c r="C25" s="8" t="inlineStr">
        <is>
          <t>SEC-002</t>
        </is>
      </c>
      <c r="D25" s="4" t="inlineStr">
        <is>
          <t>Protocolo OIDC sobre OAuth 2.0</t>
        </is>
      </c>
      <c r="E25" s="4" t="inlineStr">
        <is>
          <t>Identidad y autenticación</t>
        </is>
      </c>
      <c r="F25" s="8" t="inlineStr">
        <is>
          <t>DEBE</t>
        </is>
      </c>
      <c r="G25" s="8" t="inlineStr">
        <is>
          <t>Estático</t>
        </is>
      </c>
      <c r="H25" s="12" t="inlineStr">
        <is>
          <t>CUMPLE</t>
        </is>
      </c>
      <c r="I25" s="8" t="inlineStr"/>
      <c r="J25" s="20">
        <f>IFERROR(IF(ISNUMBER(VLOOKUP(H25,Referencia!$A$5:$C$10,3,FALSE)),VLOOKUP(H25,Referencia!$A$5:$C$10,3,FALSE),""),"")</f>
        <v/>
      </c>
      <c r="K25" s="4" t="inlineStr">
        <is>
          <t>src/main/resources/application.yml:44 — No existe ningun endpoint de login en el microservicio: es resource server y no toca contrasenas</t>
        </is>
      </c>
      <c r="L25" s="4" t="inlineStr">
        <is>
          <t>El backend no gestiona contrasenas de usuarios finales; el unico login propio esta en el frontend (ver SEC-002 del componente web).</t>
        </is>
      </c>
      <c r="M25" s="4" t="inlineStr"/>
      <c r="N25" s="21" t="inlineStr"/>
      <c r="O25" s="22" t="n"/>
      <c r="P25" s="21" t="n"/>
    </row>
    <row r="26">
      <c r="A26" s="8" t="inlineStr">
        <is>
          <t>gateway</t>
        </is>
      </c>
      <c r="B26" s="8" t="inlineStr">
        <is>
          <t>gateway</t>
        </is>
      </c>
      <c r="C26" s="8" t="inlineStr">
        <is>
          <t>SEC-003</t>
        </is>
      </c>
      <c r="D26" s="4" t="inlineStr">
        <is>
          <t>Clientes de Keycloak por responsabilidad</t>
        </is>
      </c>
      <c r="E26" s="4" t="inlineStr">
        <is>
          <t>Identidad y autenticación</t>
        </is>
      </c>
      <c r="F26" s="8" t="inlineStr">
        <is>
          <t>DEBE</t>
        </is>
      </c>
      <c r="G26" s="8" t="inlineStr">
        <is>
          <t>Estático</t>
        </is>
      </c>
      <c r="H26" s="12" t="inlineStr">
        <is>
          <t>CUMPLE</t>
        </is>
      </c>
      <c r="I26" s="8" t="inlineStr"/>
      <c r="J26" s="20">
        <f>IFERROR(IF(ISNUMBER(VLOOKUP(H26,Referencia!$A$5:$C$10,3,FALSE)),VLOOKUP(H26,Referencia!$A$5:$C$10,3,FALSE),""),"")</f>
        <v/>
      </c>
      <c r="K26" s="4" t="inlineStr">
        <is>
          <t>src/main/resources/application-dev.yml:0 — El gateway no usa client_secret; enruta el token del cliente al microservicio destino.</t>
        </is>
      </c>
      <c r="L26" s="4" t="inlineStr">
        <is>
          <t>Sin secretos de cliente.</t>
        </is>
      </c>
      <c r="M26" s="4" t="inlineStr"/>
      <c r="N26" s="21" t="inlineStr"/>
      <c r="O26" s="22" t="n"/>
      <c r="P26" s="21" t="n"/>
    </row>
    <row r="27">
      <c r="A27" s="8" t="inlineStr">
        <is>
          <t>svc-celebration</t>
        </is>
      </c>
      <c r="B27" s="8" t="inlineStr">
        <is>
          <t>microservicio</t>
        </is>
      </c>
      <c r="C27" s="8" t="inlineStr">
        <is>
          <t>SEC-003</t>
        </is>
      </c>
      <c r="D27" s="4" t="inlineStr">
        <is>
          <t>Clientes de Keycloak por responsabilidad</t>
        </is>
      </c>
      <c r="E27" s="4" t="inlineStr">
        <is>
          <t>Identidad y autenticación</t>
        </is>
      </c>
      <c r="F27" s="8" t="inlineStr">
        <is>
          <t>DEBE</t>
        </is>
      </c>
      <c r="G27" s="8" t="inlineStr">
        <is>
          <t>Estático</t>
        </is>
      </c>
      <c r="H27" s="12" t="inlineStr">
        <is>
          <t>CUMPLE</t>
        </is>
      </c>
      <c r="I27" s="8" t="inlineStr"/>
      <c r="J27" s="20">
        <f>IFERROR(IF(ISNUMBER(VLOOKUP(H27,Referencia!$A$5:$C$10,3,FALSE)),VLOOKUP(H27,Referencia!$A$5:$C$10,3,FALSE),""),"")</f>
        <v/>
      </c>
      <c r="K27" s="4" t="inlineStr">
        <is>
          <t>src/main/resources/application.yml:44 — El microservicio no declara client_secret: [REDACTADO] los tokens emitidos para el cliente publico</t>
        </is>
      </c>
      <c r="L27" s="4" t="inlineStr">
        <is>
          <t>No hay secretos de cliente en el microservicio.</t>
        </is>
      </c>
      <c r="M27" s="4" t="inlineStr"/>
      <c r="N27" s="21" t="inlineStr"/>
      <c r="O27" s="22" t="n"/>
      <c r="P27" s="21" t="n"/>
    </row>
    <row r="28">
      <c r="A28" s="8" t="inlineStr">
        <is>
          <t>svc-certificate</t>
        </is>
      </c>
      <c r="B28" s="8" t="inlineStr">
        <is>
          <t>microservicio</t>
        </is>
      </c>
      <c r="C28" s="8" t="inlineStr">
        <is>
          <t>SEC-003</t>
        </is>
      </c>
      <c r="D28" s="4" t="inlineStr">
        <is>
          <t>Clientes de Keycloak por responsabilidad</t>
        </is>
      </c>
      <c r="E28" s="4" t="inlineStr">
        <is>
          <t>Identidad y autenticación</t>
        </is>
      </c>
      <c r="F28" s="8" t="inlineStr">
        <is>
          <t>DEBE</t>
        </is>
      </c>
      <c r="G28" s="8" t="inlineStr">
        <is>
          <t>Estático</t>
        </is>
      </c>
      <c r="H28" s="12" t="inlineStr">
        <is>
          <t>CUMPLE</t>
        </is>
      </c>
      <c r="I28" s="8" t="inlineStr"/>
      <c r="J28" s="20">
        <f>IFERROR(IF(ISNUMBER(VLOOKUP(H28,Referencia!$A$5:$C$10,3,FALSE)),VLOOKUP(H28,Referencia!$A$5:$C$10,3,FALSE),""),"")</f>
        <v/>
      </c>
      <c r="K28" s="4" t="inlineStr">
        <is>
          <t>src/main/resources/application.yml:44 — El microservicio no declara client_secret: [REDACTADO] los tokens emitidos para el cliente publico</t>
        </is>
      </c>
      <c r="L28" s="4" t="inlineStr">
        <is>
          <t>No hay secretos de cliente en el microservicio.</t>
        </is>
      </c>
      <c r="M28" s="4" t="inlineStr"/>
      <c r="N28" s="21" t="inlineStr"/>
      <c r="O28" s="22" t="n"/>
      <c r="P28" s="21" t="n"/>
    </row>
    <row r="29">
      <c r="A29" s="8" t="inlineStr">
        <is>
          <t>svc-preparation</t>
        </is>
      </c>
      <c r="B29" s="8" t="inlineStr">
        <is>
          <t>microservicio</t>
        </is>
      </c>
      <c r="C29" s="8" t="inlineStr">
        <is>
          <t>SEC-003</t>
        </is>
      </c>
      <c r="D29" s="4" t="inlineStr">
        <is>
          <t>Clientes de Keycloak por responsabilidad</t>
        </is>
      </c>
      <c r="E29" s="4" t="inlineStr">
        <is>
          <t>Identidad y autenticación</t>
        </is>
      </c>
      <c r="F29" s="8" t="inlineStr">
        <is>
          <t>DEBE</t>
        </is>
      </c>
      <c r="G29" s="8" t="inlineStr">
        <is>
          <t>Estático</t>
        </is>
      </c>
      <c r="H29" s="12" t="inlineStr">
        <is>
          <t>CUMPLE</t>
        </is>
      </c>
      <c r="I29" s="8" t="inlineStr"/>
      <c r="J29" s="20">
        <f>IFERROR(IF(ISNUMBER(VLOOKUP(H29,Referencia!$A$5:$C$10,3,FALSE)),VLOOKUP(H29,Referencia!$A$5:$C$10,3,FALSE),""),"")</f>
        <v/>
      </c>
      <c r="K29" s="4" t="inlineStr">
        <is>
          <t>src/main/resources/application.yml:44 — El microservicio no declara client_secret: [REDACTADO] los tokens emitidos para el cliente publico</t>
        </is>
      </c>
      <c r="L29" s="4" t="inlineStr">
        <is>
          <t>No hay secretos de cliente en el microservicio.</t>
        </is>
      </c>
      <c r="M29" s="4" t="inlineStr"/>
      <c r="N29" s="21" t="inlineStr"/>
      <c r="O29" s="22" t="n"/>
      <c r="P29" s="21" t="n"/>
    </row>
    <row r="30">
      <c r="A30" s="8" t="inlineStr">
        <is>
          <t>svc-requests</t>
        </is>
      </c>
      <c r="B30" s="8" t="inlineStr">
        <is>
          <t>microservicio</t>
        </is>
      </c>
      <c r="C30" s="8" t="inlineStr">
        <is>
          <t>SEC-003</t>
        </is>
      </c>
      <c r="D30" s="4" t="inlineStr">
        <is>
          <t>Clientes de Keycloak por responsabilidad</t>
        </is>
      </c>
      <c r="E30" s="4" t="inlineStr">
        <is>
          <t>Identidad y autenticación</t>
        </is>
      </c>
      <c r="F30" s="8" t="inlineStr">
        <is>
          <t>DEBE</t>
        </is>
      </c>
      <c r="G30" s="8" t="inlineStr">
        <is>
          <t>Estático</t>
        </is>
      </c>
      <c r="H30" s="12" t="inlineStr">
        <is>
          <t>CUMPLE</t>
        </is>
      </c>
      <c r="I30" s="8" t="inlineStr"/>
      <c r="J30" s="20">
        <f>IFERROR(IF(ISNUMBER(VLOOKUP(H30,Referencia!$A$5:$C$10,3,FALSE)),VLOOKUP(H30,Referencia!$A$5:$C$10,3,FALSE),""),"")</f>
        <v/>
      </c>
      <c r="K30" s="4" t="inlineStr">
        <is>
          <t>src/main/resources/application.yml:44 — El microservicio no declara client_secret: [REDACTADO] los tokens emitidos para el cliente publico</t>
        </is>
      </c>
      <c r="L30" s="4" t="inlineStr">
        <is>
          <t>No hay secretos de cliente en el microservicio.</t>
        </is>
      </c>
      <c r="M30" s="4" t="inlineStr"/>
      <c r="N30" s="21" t="inlineStr"/>
      <c r="O30" s="22" t="n"/>
      <c r="P30" s="21" t="n"/>
    </row>
    <row r="31">
      <c r="A31" s="8" t="inlineStr">
        <is>
          <t>web-fideinexus</t>
        </is>
      </c>
      <c r="B31" s="8" t="inlineStr">
        <is>
          <t>frontend</t>
        </is>
      </c>
      <c r="C31" s="8" t="inlineStr">
        <is>
          <t>SEC-003</t>
        </is>
      </c>
      <c r="D31" s="4" t="inlineStr">
        <is>
          <t>Clientes de Keycloak por responsabilidad</t>
        </is>
      </c>
      <c r="E31" s="4" t="inlineStr">
        <is>
          <t>Identidad y autenticación</t>
        </is>
      </c>
      <c r="F31" s="8" t="inlineStr">
        <is>
          <t>DEBE</t>
        </is>
      </c>
      <c r="G31" s="8" t="inlineStr">
        <is>
          <t>Estático</t>
        </is>
      </c>
      <c r="H31" s="12" t="inlineStr">
        <is>
          <t>CUMPLE</t>
        </is>
      </c>
      <c r="I31" s="8" t="inlineStr"/>
      <c r="J31" s="20">
        <f>IFERROR(IF(ISNUMBER(VLOOKUP(H31,Referencia!$A$5:$C$10,3,FALSE)),VLOOKUP(H31,Referencia!$A$5:$C$10,3,FALSE),""),"")</f>
        <v/>
      </c>
      <c r="K31" s="4" t="inlineStr">
        <is>
          <t>src/app/core/services/auth.service.ts:26 — El cliente publico prs-frontend no tiene client_secret: git grep -E 'client_secret|clientSecret' en el frontend no devuelve coincidencias.</t>
        </is>
      </c>
      <c r="L31" s="4" t="inlineStr">
        <is>
          <t>Sin secretos en el bundle.</t>
        </is>
      </c>
      <c r="M31" s="4" t="inlineStr"/>
      <c r="N31" s="21" t="inlineStr"/>
      <c r="O31" s="22" t="n"/>
      <c r="P31" s="21" t="n"/>
    </row>
    <row r="32">
      <c r="A32" s="8" t="inlineStr">
        <is>
          <t>gateway</t>
        </is>
      </c>
      <c r="B32" s="8" t="inlineStr">
        <is>
          <t>gateway</t>
        </is>
      </c>
      <c r="C32" s="8" t="inlineStr">
        <is>
          <t>SEC-004</t>
        </is>
      </c>
      <c r="D32" s="4" t="inlineStr">
        <is>
          <t>Validación de tokens JWT</t>
        </is>
      </c>
      <c r="E32" s="4" t="inlineStr">
        <is>
          <t>Identidad y autenticación</t>
        </is>
      </c>
      <c r="F32" s="8" t="inlineStr">
        <is>
          <t>DEBE</t>
        </is>
      </c>
      <c r="G32" s="8" t="inlineStr">
        <is>
          <t>Mixto</t>
        </is>
      </c>
      <c r="H32" s="12" t="inlineStr">
        <is>
          <t>CUMPLE</t>
        </is>
      </c>
      <c r="I32" s="8" t="inlineStr"/>
      <c r="J32" s="20">
        <f>IFERROR(IF(ISNUMBER(VLOOKUP(H32,Referencia!$A$5:$C$10,3,FALSE)),VLOOKUP(H32,Referencia!$A$5:$C$10,3,FALSE),""),"")</f>
        <v/>
      </c>
      <c r="K32" s="4" t="inlineStr">
        <is>
          <t>src/main/java/:0 — Resource server con validacion de firma, issuer y expiracion; el token se propaga sin modificar a los microservicios.</t>
        </is>
      </c>
      <c r="L32" s="4" t="inlineStr">
        <is>
          <t>Validacion JWT en el borde publico.</t>
        </is>
      </c>
      <c r="M32" s="4" t="inlineStr"/>
      <c r="N32" s="21" t="inlineStr"/>
      <c r="O32" s="22" t="n"/>
      <c r="P32" s="21" t="n"/>
    </row>
    <row r="33">
      <c r="A33" s="8" t="inlineStr">
        <is>
          <t>svc-celebration</t>
        </is>
      </c>
      <c r="B33" s="8" t="inlineStr">
        <is>
          <t>microservicio</t>
        </is>
      </c>
      <c r="C33" s="8" t="inlineStr">
        <is>
          <t>SEC-004</t>
        </is>
      </c>
      <c r="D33" s="4" t="inlineStr">
        <is>
          <t>Validación de tokens JWT</t>
        </is>
      </c>
      <c r="E33" s="4" t="inlineStr">
        <is>
          <t>Identidad y autenticación</t>
        </is>
      </c>
      <c r="F33" s="8" t="inlineStr">
        <is>
          <t>DEBE</t>
        </is>
      </c>
      <c r="G33" s="8" t="inlineStr">
        <is>
          <t>Mixto</t>
        </is>
      </c>
      <c r="H33" s="12" t="inlineStr">
        <is>
          <t>CUMPLE</t>
        </is>
      </c>
      <c r="I33" s="8" t="inlineStr"/>
      <c r="J33" s="20">
        <f>IFERROR(IF(ISNUMBER(VLOOKUP(H33,Referencia!$A$5:$C$10,3,FALSE)),VLOOKUP(H33,Referencia!$A$5:$C$10,3,FALSE),""),"")</f>
        <v/>
      </c>
      <c r="K33" s="4" t="inlineStr">
        <is>
          <t>src/main/resources/application.yml:44 — spring-boot-starter-oauth2-resource-server con issuer-uri/jwk-set-uri: la firma se valida contra el JWKS de Keycloak
src/main/java/pe/edu/vallegrande/fideinexus/celebration/infrastructure/adapter/in/rest/controller/ServiceRest.java:83 — currentTenantId() lee el claim tenantId del token</t>
        </is>
      </c>
      <c r="L33" s="4" t="inlineStr">
        <is>
          <t>Firma, iss y exp se validan en el backend y la identidad sale del token.</t>
        </is>
      </c>
      <c r="M33" s="4" t="inlineStr"/>
      <c r="N33" s="21" t="inlineStr"/>
      <c r="O33" s="22" t="n"/>
      <c r="P33" s="21" t="n"/>
    </row>
    <row r="34">
      <c r="A34" s="8" t="inlineStr">
        <is>
          <t>svc-certificate</t>
        </is>
      </c>
      <c r="B34" s="8" t="inlineStr">
        <is>
          <t>microservicio</t>
        </is>
      </c>
      <c r="C34" s="8" t="inlineStr">
        <is>
          <t>SEC-004</t>
        </is>
      </c>
      <c r="D34" s="4" t="inlineStr">
        <is>
          <t>Validación de tokens JWT</t>
        </is>
      </c>
      <c r="E34" s="4" t="inlineStr">
        <is>
          <t>Identidad y autenticación</t>
        </is>
      </c>
      <c r="F34" s="8" t="inlineStr">
        <is>
          <t>DEBE</t>
        </is>
      </c>
      <c r="G34" s="8" t="inlineStr">
        <is>
          <t>Mixto</t>
        </is>
      </c>
      <c r="H34" s="12" t="inlineStr">
        <is>
          <t>CUMPLE</t>
        </is>
      </c>
      <c r="I34" s="8" t="inlineStr"/>
      <c r="J34" s="20">
        <f>IFERROR(IF(ISNUMBER(VLOOKUP(H34,Referencia!$A$5:$C$10,3,FALSE)),VLOOKUP(H34,Referencia!$A$5:$C$10,3,FALSE),""),"")</f>
        <v/>
      </c>
      <c r="K34" s="4" t="inlineStr">
        <is>
          <t>src/main/resources/application.yml:44 — spring-boot-starter-oauth2-resource-server con issuer-uri/jwk-set-uri: la firma se valida contra el JWKS de Keycloak
src/main/java/pe/edu/vallegrande/fideinexus/certificate/infrastructure/adapter/in/rest/controller/ServiceRest.java:83 — currentTenantId() lee el claim tenantId del token</t>
        </is>
      </c>
      <c r="L34" s="4" t="inlineStr">
        <is>
          <t>Firma, iss y exp se validan en el backend y la identidad sale del token.</t>
        </is>
      </c>
      <c r="M34" s="4" t="inlineStr"/>
      <c r="N34" s="21" t="inlineStr"/>
      <c r="O34" s="22" t="n"/>
      <c r="P34" s="21" t="n"/>
    </row>
    <row r="35">
      <c r="A35" s="8" t="inlineStr">
        <is>
          <t>svc-preparation</t>
        </is>
      </c>
      <c r="B35" s="8" t="inlineStr">
        <is>
          <t>microservicio</t>
        </is>
      </c>
      <c r="C35" s="8" t="inlineStr">
        <is>
          <t>SEC-004</t>
        </is>
      </c>
      <c r="D35" s="4" t="inlineStr">
        <is>
          <t>Validación de tokens JWT</t>
        </is>
      </c>
      <c r="E35" s="4" t="inlineStr">
        <is>
          <t>Identidad y autenticación</t>
        </is>
      </c>
      <c r="F35" s="8" t="inlineStr">
        <is>
          <t>DEBE</t>
        </is>
      </c>
      <c r="G35" s="8" t="inlineStr">
        <is>
          <t>Mixto</t>
        </is>
      </c>
      <c r="H35" s="12" t="inlineStr">
        <is>
          <t>CUMPLE</t>
        </is>
      </c>
      <c r="I35" s="8" t="inlineStr"/>
      <c r="J35" s="20">
        <f>IFERROR(IF(ISNUMBER(VLOOKUP(H35,Referencia!$A$5:$C$10,3,FALSE)),VLOOKUP(H35,Referencia!$A$5:$C$10,3,FALSE),""),"")</f>
        <v/>
      </c>
      <c r="K35" s="4" t="inlineStr">
        <is>
          <t>src/main/resources/application.yml:44 — spring-boot-starter-oauth2-resource-server con issuer-uri/jwk-set-uri: la firma se valida contra el JWKS de Keycloak
src/main/java/pe/edu/vallegrande/fideinexus/preparation/infrastructure/adapter/in/rest/controller/ServiceRest.java:83 — currentTenantId() lee el claim tenantId del token</t>
        </is>
      </c>
      <c r="L35" s="4" t="inlineStr">
        <is>
          <t>Firma, iss y exp se validan en el backend y la identidad sale del token.</t>
        </is>
      </c>
      <c r="M35" s="4" t="inlineStr"/>
      <c r="N35" s="21" t="inlineStr"/>
      <c r="O35" s="22" t="n"/>
      <c r="P35" s="21" t="n"/>
    </row>
    <row r="36">
      <c r="A36" s="8" t="inlineStr">
        <is>
          <t>svc-requests</t>
        </is>
      </c>
      <c r="B36" s="8" t="inlineStr">
        <is>
          <t>microservicio</t>
        </is>
      </c>
      <c r="C36" s="8" t="inlineStr">
        <is>
          <t>SEC-004</t>
        </is>
      </c>
      <c r="D36" s="4" t="inlineStr">
        <is>
          <t>Validación de tokens JWT</t>
        </is>
      </c>
      <c r="E36" s="4" t="inlineStr">
        <is>
          <t>Identidad y autenticación</t>
        </is>
      </c>
      <c r="F36" s="8" t="inlineStr">
        <is>
          <t>DEBE</t>
        </is>
      </c>
      <c r="G36" s="8" t="inlineStr">
        <is>
          <t>Mixto</t>
        </is>
      </c>
      <c r="H36" s="12" t="inlineStr">
        <is>
          <t>CUMPLE</t>
        </is>
      </c>
      <c r="I36" s="8" t="inlineStr"/>
      <c r="J36" s="20">
        <f>IFERROR(IF(ISNUMBER(VLOOKUP(H36,Referencia!$A$5:$C$10,3,FALSE)),VLOOKUP(H36,Referencia!$A$5:$C$10,3,FALSE),""),"")</f>
        <v/>
      </c>
      <c r="K36" s="4" t="inlineStr">
        <is>
          <t>src/main/resources/application.yml:44 — spring-boot-starter-oauth2-resource-server con issuer-uri/jwk-set-uri: la firma se valida contra el JWKS de Keycloak
src/main/java/pe/edu/vallegrande/fideinexus/requests/infrastructure/adapter/in/rest/controller/ServiceRest.java:83 — currentTenantId() lee el claim tenantId del token</t>
        </is>
      </c>
      <c r="L36" s="4" t="inlineStr">
        <is>
          <t>Firma, iss y exp se validan en el backend y la identidad sale del token.</t>
        </is>
      </c>
      <c r="M36" s="4" t="inlineStr"/>
      <c r="N36" s="21" t="inlineStr"/>
      <c r="O36" s="22" t="n"/>
      <c r="P36" s="21" t="n"/>
    </row>
    <row r="37">
      <c r="A37" s="8" t="inlineStr">
        <is>
          <t>gateway</t>
        </is>
      </c>
      <c r="B37" s="8" t="inlineStr">
        <is>
          <t>gateway</t>
        </is>
      </c>
      <c r="C37" s="8" t="inlineStr">
        <is>
          <t>SEC-005</t>
        </is>
      </c>
      <c r="D37" s="4" t="inlineStr">
        <is>
          <t>Autorización en backend</t>
        </is>
      </c>
      <c r="E37" s="4" t="inlineStr">
        <is>
          <t>Autorización y roles</t>
        </is>
      </c>
      <c r="F37" s="8" t="inlineStr">
        <is>
          <t>DEBE</t>
        </is>
      </c>
      <c r="G37" s="8" t="inlineStr">
        <is>
          <t>Estático</t>
        </is>
      </c>
      <c r="H37" s="12" t="inlineStr">
        <is>
          <t>CUMPLE</t>
        </is>
      </c>
      <c r="I37" s="8" t="inlineStr"/>
      <c r="J37" s="20">
        <f>IFERROR(IF(ISNUMBER(VLOOKUP(H37,Referencia!$A$5:$C$10,3,FALSE)),VLOOKUP(H37,Referencia!$A$5:$C$10,3,FALSE),""),"")</f>
        <v/>
      </c>
      <c r="K37" s="4" t="inlineStr">
        <is>
          <t>src/main/resources/application-dev.yml:0 — El gateway aplica politicas por ruta y cada microservicio vuelve a autorizar el recurso (SEC-005 de cada microservicio: CUMPLE).</t>
        </is>
      </c>
      <c r="L37" s="4" t="inlineStr">
        <is>
          <t>Doble capa de autorizacion.</t>
        </is>
      </c>
      <c r="M37" s="4" t="inlineStr"/>
      <c r="N37" s="21" t="inlineStr"/>
      <c r="O37" s="22" t="n"/>
      <c r="P37" s="21" t="n"/>
    </row>
    <row r="38">
      <c r="A38" s="8" t="inlineStr">
        <is>
          <t>svc-celebration</t>
        </is>
      </c>
      <c r="B38" s="8" t="inlineStr">
        <is>
          <t>microservicio</t>
        </is>
      </c>
      <c r="C38" s="8" t="inlineStr">
        <is>
          <t>SEC-005</t>
        </is>
      </c>
      <c r="D38" s="4" t="inlineStr">
        <is>
          <t>Autorización en backend</t>
        </is>
      </c>
      <c r="E38" s="4" t="inlineStr">
        <is>
          <t>Autorización y roles</t>
        </is>
      </c>
      <c r="F38" s="8" t="inlineStr">
        <is>
          <t>DEBE</t>
        </is>
      </c>
      <c r="G38" s="8" t="inlineStr">
        <is>
          <t>Estático</t>
        </is>
      </c>
      <c r="H38" s="12" t="inlineStr">
        <is>
          <t>CUMPLE</t>
        </is>
      </c>
      <c r="I38" s="8" t="inlineStr"/>
      <c r="J38" s="20">
        <f>IFERROR(IF(ISNUMBER(VLOOKUP(H38,Referencia!$A$5:$C$10,3,FALSE)),VLOOKUP(H38,Referencia!$A$5:$C$10,3,FALSE),""),"")</f>
        <v/>
      </c>
      <c r="K38" s="4" t="inlineStr">
        <is>
          <t>src/main/java/pe/edu/vallegrande/fideinexus/celebration/infrastructure/adapter/in/rest/controller/ServiceRest.java:77 — @PreAuthorize sobre GET /services (y sobre los 24 endpoints del microservicio)</t>
        </is>
      </c>
      <c r="L38" s="4" t="inlineStr">
        <is>
          <t>Cada microservicio autoriza por su cuenta; el gateway no es la unica defensa.</t>
        </is>
      </c>
      <c r="M38" s="4" t="inlineStr"/>
      <c r="N38" s="21" t="inlineStr"/>
      <c r="O38" s="22" t="n"/>
      <c r="P38" s="21" t="n"/>
    </row>
    <row r="39">
      <c r="A39" s="8" t="inlineStr">
        <is>
          <t>svc-certificate</t>
        </is>
      </c>
      <c r="B39" s="8" t="inlineStr">
        <is>
          <t>microservicio</t>
        </is>
      </c>
      <c r="C39" s="8" t="inlineStr">
        <is>
          <t>SEC-005</t>
        </is>
      </c>
      <c r="D39" s="4" t="inlineStr">
        <is>
          <t>Autorización en backend</t>
        </is>
      </c>
      <c r="E39" s="4" t="inlineStr">
        <is>
          <t>Autorización y roles</t>
        </is>
      </c>
      <c r="F39" s="8" t="inlineStr">
        <is>
          <t>DEBE</t>
        </is>
      </c>
      <c r="G39" s="8" t="inlineStr">
        <is>
          <t>Estático</t>
        </is>
      </c>
      <c r="H39" s="12" t="inlineStr">
        <is>
          <t>CUMPLE</t>
        </is>
      </c>
      <c r="I39" s="8" t="inlineStr"/>
      <c r="J39" s="20">
        <f>IFERROR(IF(ISNUMBER(VLOOKUP(H39,Referencia!$A$5:$C$10,3,FALSE)),VLOOKUP(H39,Referencia!$A$5:$C$10,3,FALSE),""),"")</f>
        <v/>
      </c>
      <c r="K39" s="4" t="inlineStr">
        <is>
          <t>src/main/java/pe/edu/vallegrande/fideinexus/certificate/infrastructure/adapter/in/rest/controller/ServiceRest.java:77 — @PreAuthorize sobre GET /services (y sobre los 24 endpoints del microservicio)</t>
        </is>
      </c>
      <c r="L39" s="4" t="inlineStr">
        <is>
          <t>Cada microservicio autoriza por su cuenta; el gateway no es la unica defensa.</t>
        </is>
      </c>
      <c r="M39" s="4" t="inlineStr"/>
      <c r="N39" s="21" t="inlineStr"/>
      <c r="O39" s="22" t="n"/>
      <c r="P39" s="21" t="n"/>
    </row>
    <row r="40">
      <c r="A40" s="8" t="inlineStr">
        <is>
          <t>svc-preparation</t>
        </is>
      </c>
      <c r="B40" s="8" t="inlineStr">
        <is>
          <t>microservicio</t>
        </is>
      </c>
      <c r="C40" s="8" t="inlineStr">
        <is>
          <t>SEC-005</t>
        </is>
      </c>
      <c r="D40" s="4" t="inlineStr">
        <is>
          <t>Autorización en backend</t>
        </is>
      </c>
      <c r="E40" s="4" t="inlineStr">
        <is>
          <t>Autorización y roles</t>
        </is>
      </c>
      <c r="F40" s="8" t="inlineStr">
        <is>
          <t>DEBE</t>
        </is>
      </c>
      <c r="G40" s="8" t="inlineStr">
        <is>
          <t>Estático</t>
        </is>
      </c>
      <c r="H40" s="12" t="inlineStr">
        <is>
          <t>CUMPLE</t>
        </is>
      </c>
      <c r="I40" s="8" t="inlineStr"/>
      <c r="J40" s="20">
        <f>IFERROR(IF(ISNUMBER(VLOOKUP(H40,Referencia!$A$5:$C$10,3,FALSE)),VLOOKUP(H40,Referencia!$A$5:$C$10,3,FALSE),""),"")</f>
        <v/>
      </c>
      <c r="K40" s="4" t="inlineStr">
        <is>
          <t>src/main/java/pe/edu/vallegrande/fideinexus/preparation/infrastructure/adapter/in/rest/controller/ServiceRest.java:77 — @PreAuthorize sobre GET /services (y sobre los 24 endpoints del microservicio)</t>
        </is>
      </c>
      <c r="L40" s="4" t="inlineStr">
        <is>
          <t>Cada microservicio autoriza por su cuenta; el gateway no es la unica defensa.</t>
        </is>
      </c>
      <c r="M40" s="4" t="inlineStr"/>
      <c r="N40" s="21" t="inlineStr"/>
      <c r="O40" s="22" t="n"/>
      <c r="P40" s="21" t="n"/>
    </row>
    <row r="41">
      <c r="A41" s="8" t="inlineStr">
        <is>
          <t>svc-requests</t>
        </is>
      </c>
      <c r="B41" s="8" t="inlineStr">
        <is>
          <t>microservicio</t>
        </is>
      </c>
      <c r="C41" s="8" t="inlineStr">
        <is>
          <t>SEC-005</t>
        </is>
      </c>
      <c r="D41" s="4" t="inlineStr">
        <is>
          <t>Autorización en backend</t>
        </is>
      </c>
      <c r="E41" s="4" t="inlineStr">
        <is>
          <t>Autorización y roles</t>
        </is>
      </c>
      <c r="F41" s="8" t="inlineStr">
        <is>
          <t>DEBE</t>
        </is>
      </c>
      <c r="G41" s="8" t="inlineStr">
        <is>
          <t>Estático</t>
        </is>
      </c>
      <c r="H41" s="12" t="inlineStr">
        <is>
          <t>CUMPLE</t>
        </is>
      </c>
      <c r="I41" s="8" t="inlineStr"/>
      <c r="J41" s="20">
        <f>IFERROR(IF(ISNUMBER(VLOOKUP(H41,Referencia!$A$5:$C$10,3,FALSE)),VLOOKUP(H41,Referencia!$A$5:$C$10,3,FALSE),""),"")</f>
        <v/>
      </c>
      <c r="K41" s="4" t="inlineStr">
        <is>
          <t>src/main/java/pe/edu/vallegrande/fideinexus/requests/infrastructure/adapter/in/rest/controller/ServiceRest.java:77 — @PreAuthorize sobre GET /services (y sobre los 24 endpoints del microservicio)</t>
        </is>
      </c>
      <c r="L41" s="4" t="inlineStr">
        <is>
          <t>Cada microservicio autoriza por su cuenta; el gateway no es la unica defensa.</t>
        </is>
      </c>
      <c r="M41" s="4" t="inlineStr"/>
      <c r="N41" s="21" t="inlineStr"/>
      <c r="O41" s="22" t="n"/>
      <c r="P41" s="21" t="n"/>
    </row>
    <row r="42">
      <c r="A42" s="8" t="inlineStr">
        <is>
          <t>gateway</t>
        </is>
      </c>
      <c r="B42" s="8" t="inlineStr">
        <is>
          <t>gateway</t>
        </is>
      </c>
      <c r="C42" s="8" t="inlineStr">
        <is>
          <t>SEC-007</t>
        </is>
      </c>
      <c r="D42" s="4" t="inlineStr">
        <is>
          <t>Menor privilegio por endpoint</t>
        </is>
      </c>
      <c r="E42" s="4" t="inlineStr">
        <is>
          <t>Autorización y roles</t>
        </is>
      </c>
      <c r="F42" s="8" t="inlineStr">
        <is>
          <t>DEBE</t>
        </is>
      </c>
      <c r="G42" s="8" t="inlineStr">
        <is>
          <t>Estático</t>
        </is>
      </c>
      <c r="H42" s="12" t="inlineStr">
        <is>
          <t>CUMPLE</t>
        </is>
      </c>
      <c r="I42" s="8" t="inlineStr"/>
      <c r="J42" s="20">
        <f>IFERROR(IF(ISNUMBER(VLOOKUP(H42,Referencia!$A$5:$C$10,3,FALSE)),VLOOKUP(H42,Referencia!$A$5:$C$10,3,FALSE),""),"")</f>
        <v/>
      </c>
      <c r="K42" s="4" t="inlineStr">
        <is>
          <t>src/main/resources/application-dev.yml:0 — El gateway no usa hasRole('ADMIN') general; las reglas por ruta delegan en la autorizacion del microservicio.</t>
        </is>
      </c>
      <c r="L42" s="4" t="inlineStr">
        <is>
          <t>Permisos acotados.</t>
        </is>
      </c>
      <c r="M42" s="4" t="inlineStr"/>
      <c r="N42" s="21" t="inlineStr"/>
      <c r="O42" s="22" t="n"/>
      <c r="P42" s="21" t="n"/>
    </row>
    <row r="43">
      <c r="A43" s="8" t="inlineStr">
        <is>
          <t>svc-celebration</t>
        </is>
      </c>
      <c r="B43" s="8" t="inlineStr">
        <is>
          <t>microservicio</t>
        </is>
      </c>
      <c r="C43" s="8" t="inlineStr">
        <is>
          <t>SEC-007</t>
        </is>
      </c>
      <c r="D43" s="4" t="inlineStr">
        <is>
          <t>Menor privilegio por endpoint</t>
        </is>
      </c>
      <c r="E43" s="4" t="inlineStr">
        <is>
          <t>Autorización y roles</t>
        </is>
      </c>
      <c r="F43" s="8" t="inlineStr">
        <is>
          <t>DEBE</t>
        </is>
      </c>
      <c r="G43" s="8" t="inlineStr">
        <is>
          <t>Estático</t>
        </is>
      </c>
      <c r="H43" s="12" t="inlineStr">
        <is>
          <t>CUMPLE</t>
        </is>
      </c>
      <c r="I43" s="8" t="inlineStr"/>
      <c r="J43" s="20">
        <f>IFERROR(IF(ISNUMBER(VLOOKUP(H43,Referencia!$A$5:$C$10,3,FALSE)),VLOOKUP(H43,Referencia!$A$5:$C$10,3,FALSE),""),"")</f>
        <v/>
      </c>
      <c r="K43" s="4" t="inlineStr">
        <is>
          <t>src/main/java/pe/edu/vallegrande/fideinexus/celebration/infrastructure/adapter/in/rest/controller/ServiceRest.java:77 — Roles acotados por endpoint; no se usa hasRole('ADMIN') ni authenticated() de forma generalizada</t>
        </is>
      </c>
      <c r="L43" s="4" t="inlineStr">
        <is>
          <t>Los permisos estan acotados por operacion.</t>
        </is>
      </c>
      <c r="M43" s="4" t="inlineStr"/>
      <c r="N43" s="21" t="inlineStr"/>
      <c r="O43" s="22" t="n"/>
      <c r="P43" s="21" t="n"/>
    </row>
    <row r="44">
      <c r="A44" s="8" t="inlineStr">
        <is>
          <t>svc-certificate</t>
        </is>
      </c>
      <c r="B44" s="8" t="inlineStr">
        <is>
          <t>microservicio</t>
        </is>
      </c>
      <c r="C44" s="8" t="inlineStr">
        <is>
          <t>SEC-007</t>
        </is>
      </c>
      <c r="D44" s="4" t="inlineStr">
        <is>
          <t>Menor privilegio por endpoint</t>
        </is>
      </c>
      <c r="E44" s="4" t="inlineStr">
        <is>
          <t>Autorización y roles</t>
        </is>
      </c>
      <c r="F44" s="8" t="inlineStr">
        <is>
          <t>DEBE</t>
        </is>
      </c>
      <c r="G44" s="8" t="inlineStr">
        <is>
          <t>Estático</t>
        </is>
      </c>
      <c r="H44" s="12" t="inlineStr">
        <is>
          <t>CUMPLE</t>
        </is>
      </c>
      <c r="I44" s="8" t="inlineStr"/>
      <c r="J44" s="20">
        <f>IFERROR(IF(ISNUMBER(VLOOKUP(H44,Referencia!$A$5:$C$10,3,FALSE)),VLOOKUP(H44,Referencia!$A$5:$C$10,3,FALSE),""),"")</f>
        <v/>
      </c>
      <c r="K44" s="4" t="inlineStr">
        <is>
          <t>src/main/java/pe/edu/vallegrande/fideinexus/certificate/infrastructure/adapter/in/rest/controller/ServiceRest.java:77 — Roles acotados por endpoint; no se usa hasRole('ADMIN') ni authenticated() de forma generalizada</t>
        </is>
      </c>
      <c r="L44" s="4" t="inlineStr">
        <is>
          <t>Los permisos estan acotados por operacion.</t>
        </is>
      </c>
      <c r="M44" s="4" t="inlineStr"/>
      <c r="N44" s="21" t="inlineStr"/>
      <c r="O44" s="22" t="n"/>
      <c r="P44" s="21" t="n"/>
    </row>
    <row r="45">
      <c r="A45" s="8" t="inlineStr">
        <is>
          <t>svc-preparation</t>
        </is>
      </c>
      <c r="B45" s="8" t="inlineStr">
        <is>
          <t>microservicio</t>
        </is>
      </c>
      <c r="C45" s="8" t="inlineStr">
        <is>
          <t>SEC-007</t>
        </is>
      </c>
      <c r="D45" s="4" t="inlineStr">
        <is>
          <t>Menor privilegio por endpoint</t>
        </is>
      </c>
      <c r="E45" s="4" t="inlineStr">
        <is>
          <t>Autorización y roles</t>
        </is>
      </c>
      <c r="F45" s="8" t="inlineStr">
        <is>
          <t>DEBE</t>
        </is>
      </c>
      <c r="G45" s="8" t="inlineStr">
        <is>
          <t>Estático</t>
        </is>
      </c>
      <c r="H45" s="12" t="inlineStr">
        <is>
          <t>CUMPLE</t>
        </is>
      </c>
      <c r="I45" s="8" t="inlineStr"/>
      <c r="J45" s="20">
        <f>IFERROR(IF(ISNUMBER(VLOOKUP(H45,Referencia!$A$5:$C$10,3,FALSE)),VLOOKUP(H45,Referencia!$A$5:$C$10,3,FALSE),""),"")</f>
        <v/>
      </c>
      <c r="K45" s="4" t="inlineStr">
        <is>
          <t>src/main/java/pe/edu/vallegrande/fideinexus/preparation/infrastructure/adapter/in/rest/controller/ServiceRest.java:77 — Roles acotados por endpoint; no se usa hasRole('ADMIN') ni authenticated() de forma generalizada</t>
        </is>
      </c>
      <c r="L45" s="4" t="inlineStr">
        <is>
          <t>Los permisos estan acotados por operacion.</t>
        </is>
      </c>
      <c r="M45" s="4" t="inlineStr"/>
      <c r="N45" s="21" t="inlineStr"/>
      <c r="O45" s="22" t="n"/>
      <c r="P45" s="21" t="n"/>
    </row>
    <row r="46">
      <c r="A46" s="8" t="inlineStr">
        <is>
          <t>svc-requests</t>
        </is>
      </c>
      <c r="B46" s="8" t="inlineStr">
        <is>
          <t>microservicio</t>
        </is>
      </c>
      <c r="C46" s="8" t="inlineStr">
        <is>
          <t>SEC-007</t>
        </is>
      </c>
      <c r="D46" s="4" t="inlineStr">
        <is>
          <t>Menor privilegio por endpoint</t>
        </is>
      </c>
      <c r="E46" s="4" t="inlineStr">
        <is>
          <t>Autorización y roles</t>
        </is>
      </c>
      <c r="F46" s="8" t="inlineStr">
        <is>
          <t>DEBE</t>
        </is>
      </c>
      <c r="G46" s="8" t="inlineStr">
        <is>
          <t>Estático</t>
        </is>
      </c>
      <c r="H46" s="12" t="inlineStr">
        <is>
          <t>CUMPLE</t>
        </is>
      </c>
      <c r="I46" s="8" t="inlineStr"/>
      <c r="J46" s="20">
        <f>IFERROR(IF(ISNUMBER(VLOOKUP(H46,Referencia!$A$5:$C$10,3,FALSE)),VLOOKUP(H46,Referencia!$A$5:$C$10,3,FALSE),""),"")</f>
        <v/>
      </c>
      <c r="K46" s="4" t="inlineStr">
        <is>
          <t>src/main/java/pe/edu/vallegrande/fideinexus/requests/infrastructure/adapter/in/rest/controller/ServiceRest.java:77 — Roles acotados por endpoint; no se usa hasRole('ADMIN') ni authenticated() de forma generalizada</t>
        </is>
      </c>
      <c r="L46" s="4" t="inlineStr">
        <is>
          <t>Los permisos estan acotados por operacion.</t>
        </is>
      </c>
      <c r="M46" s="4" t="inlineStr"/>
      <c r="N46" s="21" t="inlineStr"/>
      <c r="O46" s="22" t="n"/>
      <c r="P46" s="21" t="n"/>
    </row>
    <row r="47">
      <c r="A47" s="8" t="inlineStr">
        <is>
          <t>web-fideinexus</t>
        </is>
      </c>
      <c r="B47" s="8" t="inlineStr">
        <is>
          <t>frontend</t>
        </is>
      </c>
      <c r="C47" s="8" t="inlineStr">
        <is>
          <t>SEC-007</t>
        </is>
      </c>
      <c r="D47" s="4" t="inlineStr">
        <is>
          <t>Menor privilegio por endpoint</t>
        </is>
      </c>
      <c r="E47" s="4" t="inlineStr">
        <is>
          <t>Autorización y roles</t>
        </is>
      </c>
      <c r="F47" s="8" t="inlineStr">
        <is>
          <t>DEBE</t>
        </is>
      </c>
      <c r="G47" s="8" t="inlineStr">
        <is>
          <t>Estático</t>
        </is>
      </c>
      <c r="H47" s="12" t="inlineStr">
        <is>
          <t>CUMPLE</t>
        </is>
      </c>
      <c r="I47" s="8" t="inlineStr"/>
      <c r="J47" s="20">
        <f>IFERROR(IF(ISNUMBER(VLOOKUP(H47,Referencia!$A$5:$C$10,3,FALSE)),VLOOKUP(H47,Referencia!$A$5:$C$10,3,FALSE),""),"")</f>
        <v/>
      </c>
      <c r="K47" s="4" t="inlineStr">
        <is>
          <t>src/app/features/(tenant)/solicitudes/components/solicitud-list/solicitud-list.ts:143 — Las acciones de la UI se filtran por rol (canManage, canApprove) y el backend vuelve a validarlas.</t>
        </is>
      </c>
      <c r="L47" s="4" t="inlineStr">
        <is>
          <t>Menor privilegio en la UI y en el backend.</t>
        </is>
      </c>
      <c r="M47" s="4" t="inlineStr"/>
      <c r="N47" s="21" t="inlineStr"/>
      <c r="O47" s="22" t="n"/>
      <c r="P47" s="21" t="n"/>
    </row>
    <row r="48">
      <c r="A48" s="8" t="inlineStr">
        <is>
          <t>gateway</t>
        </is>
      </c>
      <c r="B48" s="8" t="inlineStr">
        <is>
          <t>gateway</t>
        </is>
      </c>
      <c r="C48" s="8" t="inlineStr">
        <is>
          <t>SEC-008</t>
        </is>
      </c>
      <c r="D48" s="4" t="inlineStr">
        <is>
          <t>Tenant derivado de la identidad autenticada</t>
        </is>
      </c>
      <c r="E48" s="4" t="inlineStr">
        <is>
          <t>Aislamiento multi-tenant</t>
        </is>
      </c>
      <c r="F48" s="8" t="inlineStr">
        <is>
          <t>DEBE</t>
        </is>
      </c>
      <c r="G48" s="8" t="inlineStr">
        <is>
          <t>Mixto</t>
        </is>
      </c>
      <c r="H48" s="12" t="inlineStr">
        <is>
          <t>CUMPLE</t>
        </is>
      </c>
      <c r="I48" s="8" t="inlineStr"/>
      <c r="J48" s="20">
        <f>IFERROR(IF(ISNUMBER(VLOOKUP(H48,Referencia!$A$5:$C$10,3,FALSE)),VLOOKUP(H48,Referencia!$A$5:$C$10,3,FALSE),""),"")</f>
        <v/>
      </c>
      <c r="K48" s="4" t="inlineStr">
        <is>
          <t>src/main/resources/application-dev.yml:0 — El gateway no acepta un header de tenant del cliente: el microservicio lo toma del claim del token.</t>
        </is>
      </c>
      <c r="L48" s="4" t="inlineStr">
        <is>
          <t>Tenant confiable.</t>
        </is>
      </c>
      <c r="M48" s="4" t="inlineStr"/>
      <c r="N48" s="21" t="inlineStr"/>
      <c r="O48" s="22" t="n"/>
      <c r="P48" s="21" t="n"/>
    </row>
    <row r="49">
      <c r="A49" s="8" t="inlineStr">
        <is>
          <t>svc-celebration</t>
        </is>
      </c>
      <c r="B49" s="8" t="inlineStr">
        <is>
          <t>microservicio</t>
        </is>
      </c>
      <c r="C49" s="8" t="inlineStr">
        <is>
          <t>SEC-008</t>
        </is>
      </c>
      <c r="D49" s="4" t="inlineStr">
        <is>
          <t>Tenant derivado de la identidad autenticada</t>
        </is>
      </c>
      <c r="E49" s="4" t="inlineStr">
        <is>
          <t>Aislamiento multi-tenant</t>
        </is>
      </c>
      <c r="F49" s="8" t="inlineStr">
        <is>
          <t>DEBE</t>
        </is>
      </c>
      <c r="G49" s="8" t="inlineStr">
        <is>
          <t>Mixto</t>
        </is>
      </c>
      <c r="H49" s="12" t="inlineStr">
        <is>
          <t>CUMPLE</t>
        </is>
      </c>
      <c r="I49" s="8" t="inlineStr"/>
      <c r="J49" s="20">
        <f>IFERROR(IF(ISNUMBER(VLOOKUP(H49,Referencia!$A$5:$C$10,3,FALSE)),VLOOKUP(H49,Referencia!$A$5:$C$10,3,FALSE),""),"")</f>
        <v/>
      </c>
      <c r="K49" s="4" t="inlineStr">
        <is>
          <t>src/main/java/pe/edu/vallegrande/fideinexus/celebration/infrastructure/adapter/in/rest/controller/ServiceRest.java:85 — Si el tenantId de la query no es el del token se responde 403</t>
        </is>
      </c>
      <c r="L49" s="4" t="inlineStr">
        <is>
          <t>El frontend no puede cambiar de parroquia.</t>
        </is>
      </c>
      <c r="M49" s="4" t="inlineStr"/>
      <c r="N49" s="21" t="inlineStr"/>
      <c r="O49" s="22" t="n"/>
      <c r="P49" s="21" t="n"/>
    </row>
    <row r="50">
      <c r="A50" s="8" t="inlineStr">
        <is>
          <t>svc-certificate</t>
        </is>
      </c>
      <c r="B50" s="8" t="inlineStr">
        <is>
          <t>microservicio</t>
        </is>
      </c>
      <c r="C50" s="8" t="inlineStr">
        <is>
          <t>SEC-008</t>
        </is>
      </c>
      <c r="D50" s="4" t="inlineStr">
        <is>
          <t>Tenant derivado de la identidad autenticada</t>
        </is>
      </c>
      <c r="E50" s="4" t="inlineStr">
        <is>
          <t>Aislamiento multi-tenant</t>
        </is>
      </c>
      <c r="F50" s="8" t="inlineStr">
        <is>
          <t>DEBE</t>
        </is>
      </c>
      <c r="G50" s="8" t="inlineStr">
        <is>
          <t>Mixto</t>
        </is>
      </c>
      <c r="H50" s="12" t="inlineStr">
        <is>
          <t>CUMPLE</t>
        </is>
      </c>
      <c r="I50" s="8" t="inlineStr"/>
      <c r="J50" s="20">
        <f>IFERROR(IF(ISNUMBER(VLOOKUP(H50,Referencia!$A$5:$C$10,3,FALSE)),VLOOKUP(H50,Referencia!$A$5:$C$10,3,FALSE),""),"")</f>
        <v/>
      </c>
      <c r="K50" s="4" t="inlineStr">
        <is>
          <t>src/main/java/pe/edu/vallegrande/fideinexus/certificate/infrastructure/adapter/in/rest/controller/ServiceRest.java:85 — Si el tenantId de la query no es el del token se responde 403</t>
        </is>
      </c>
      <c r="L50" s="4" t="inlineStr">
        <is>
          <t>El frontend no puede cambiar de parroquia.</t>
        </is>
      </c>
      <c r="M50" s="4" t="inlineStr"/>
      <c r="N50" s="21" t="inlineStr"/>
      <c r="O50" s="22" t="n"/>
      <c r="P50" s="21" t="n"/>
    </row>
    <row r="51">
      <c r="A51" s="8" t="inlineStr">
        <is>
          <t>svc-preparation</t>
        </is>
      </c>
      <c r="B51" s="8" t="inlineStr">
        <is>
          <t>microservicio</t>
        </is>
      </c>
      <c r="C51" s="8" t="inlineStr">
        <is>
          <t>SEC-008</t>
        </is>
      </c>
      <c r="D51" s="4" t="inlineStr">
        <is>
          <t>Tenant derivado de la identidad autenticada</t>
        </is>
      </c>
      <c r="E51" s="4" t="inlineStr">
        <is>
          <t>Aislamiento multi-tenant</t>
        </is>
      </c>
      <c r="F51" s="8" t="inlineStr">
        <is>
          <t>DEBE</t>
        </is>
      </c>
      <c r="G51" s="8" t="inlineStr">
        <is>
          <t>Mixto</t>
        </is>
      </c>
      <c r="H51" s="12" t="inlineStr">
        <is>
          <t>CUMPLE</t>
        </is>
      </c>
      <c r="I51" s="8" t="inlineStr"/>
      <c r="J51" s="20">
        <f>IFERROR(IF(ISNUMBER(VLOOKUP(H51,Referencia!$A$5:$C$10,3,FALSE)),VLOOKUP(H51,Referencia!$A$5:$C$10,3,FALSE),""),"")</f>
        <v/>
      </c>
      <c r="K51" s="4" t="inlineStr">
        <is>
          <t>src/main/java/pe/edu/vallegrande/fideinexus/preparation/infrastructure/adapter/in/rest/controller/ServiceRest.java:85 — Si el tenantId de la query no es el del token se responde 403</t>
        </is>
      </c>
      <c r="L51" s="4" t="inlineStr">
        <is>
          <t>El frontend no puede cambiar de parroquia.</t>
        </is>
      </c>
      <c r="M51" s="4" t="inlineStr"/>
      <c r="N51" s="21" t="inlineStr"/>
      <c r="O51" s="22" t="n"/>
      <c r="P51" s="21" t="n"/>
    </row>
    <row r="52">
      <c r="A52" s="8" t="inlineStr">
        <is>
          <t>svc-requests</t>
        </is>
      </c>
      <c r="B52" s="8" t="inlineStr">
        <is>
          <t>microservicio</t>
        </is>
      </c>
      <c r="C52" s="8" t="inlineStr">
        <is>
          <t>SEC-008</t>
        </is>
      </c>
      <c r="D52" s="4" t="inlineStr">
        <is>
          <t>Tenant derivado de la identidad autenticada</t>
        </is>
      </c>
      <c r="E52" s="4" t="inlineStr">
        <is>
          <t>Aislamiento multi-tenant</t>
        </is>
      </c>
      <c r="F52" s="8" t="inlineStr">
        <is>
          <t>DEBE</t>
        </is>
      </c>
      <c r="G52" s="8" t="inlineStr">
        <is>
          <t>Mixto</t>
        </is>
      </c>
      <c r="H52" s="12" t="inlineStr">
        <is>
          <t>CUMPLE</t>
        </is>
      </c>
      <c r="I52" s="8" t="inlineStr"/>
      <c r="J52" s="20">
        <f>IFERROR(IF(ISNUMBER(VLOOKUP(H52,Referencia!$A$5:$C$10,3,FALSE)),VLOOKUP(H52,Referencia!$A$5:$C$10,3,FALSE),""),"")</f>
        <v/>
      </c>
      <c r="K52" s="4" t="inlineStr">
        <is>
          <t>src/main/java/pe/edu/vallegrande/fideinexus/requests/infrastructure/adapter/in/rest/controller/ServiceRest.java:85 — Si el tenantId de la query no es el del token se responde 403</t>
        </is>
      </c>
      <c r="L52" s="4" t="inlineStr">
        <is>
          <t>El frontend no puede cambiar de parroquia.</t>
        </is>
      </c>
      <c r="M52" s="4" t="inlineStr"/>
      <c r="N52" s="21" t="inlineStr"/>
      <c r="O52" s="22" t="n"/>
      <c r="P52" s="21" t="n"/>
    </row>
    <row r="53">
      <c r="A53" s="8" t="inlineStr">
        <is>
          <t>web-fideinexus</t>
        </is>
      </c>
      <c r="B53" s="8" t="inlineStr">
        <is>
          <t>frontend</t>
        </is>
      </c>
      <c r="C53" s="8" t="inlineStr">
        <is>
          <t>SEC-008</t>
        </is>
      </c>
      <c r="D53" s="4" t="inlineStr">
        <is>
          <t>Tenant derivado de la identidad autenticada</t>
        </is>
      </c>
      <c r="E53" s="4" t="inlineStr">
        <is>
          <t>Aislamiento multi-tenant</t>
        </is>
      </c>
      <c r="F53" s="8" t="inlineStr">
        <is>
          <t>DEBE</t>
        </is>
      </c>
      <c r="G53" s="8" t="inlineStr">
        <is>
          <t>Mixto</t>
        </is>
      </c>
      <c r="H53" s="12" t="inlineStr">
        <is>
          <t>CUMPLE</t>
        </is>
      </c>
      <c r="I53" s="8" t="inlineStr"/>
      <c r="J53" s="20">
        <f>IFERROR(IF(ISNUMBER(VLOOKUP(H53,Referencia!$A$5:$C$10,3,FALSE)),VLOOKUP(H53,Referencia!$A$5:$C$10,3,FALSE),""),"")</f>
        <v/>
      </c>
      <c r="K53" s="4" t="inlineStr">
        <is>
          <t>src/app/core/guards/auth.guard.ts:20 — El guard compara el tenant de la URL con el tenant del token y redirige si no coinciden.
src/app/features/(tenant)/solicitudes/services/:0 — El modulo de Solicitudes no envia tenantId en las peticiones de escritura: el Microservicio lo toma del token.</t>
        </is>
      </c>
      <c r="L53" s="4" t="inlineStr">
        <is>
          <t>El frontend no puede cambiar de parroquia.</t>
        </is>
      </c>
      <c r="M53" s="4" t="inlineStr"/>
      <c r="N53" s="21" t="inlineStr"/>
      <c r="O53" s="22" t="n"/>
      <c r="P53" s="21" t="n"/>
    </row>
    <row r="54">
      <c r="A54" s="8" t="inlineStr">
        <is>
          <t>gateway</t>
        </is>
      </c>
      <c r="B54" s="8" t="inlineStr">
        <is>
          <t>gateway</t>
        </is>
      </c>
      <c r="C54" s="8" t="inlineStr">
        <is>
          <t>SEC-009</t>
        </is>
      </c>
      <c r="D54" s="4" t="inlineStr">
        <is>
          <t>Filtro obligatorio por tenant en datos</t>
        </is>
      </c>
      <c r="E54" s="4" t="inlineStr">
        <is>
          <t>Aislamiento multi-tenant</t>
        </is>
      </c>
      <c r="F54" s="8" t="inlineStr">
        <is>
          <t>DEBE</t>
        </is>
      </c>
      <c r="G54" s="8" t="inlineStr">
        <is>
          <t>Estático</t>
        </is>
      </c>
      <c r="H54" s="12" t="inlineStr">
        <is>
          <t>CUMPLE</t>
        </is>
      </c>
      <c r="I54" s="8" t="inlineStr"/>
      <c r="J54" s="20">
        <f>IFERROR(IF(ISNUMBER(VLOOKUP(H54,Referencia!$A$5:$C$10,3,FALSE)),VLOOKUP(H54,Referencia!$A$5:$C$10,3,FALSE),""),"")</f>
        <v/>
      </c>
      <c r="K54" s="4" t="inlineStr">
        <is>
          <t>src/main/resources/application-dev.yml:0 — El gateway no accede a bases de datos: enruta y propaga identidad.</t>
        </is>
      </c>
      <c r="L54" s="4" t="inlineStr">
        <is>
          <t>n/a en el gateway.</t>
        </is>
      </c>
      <c r="M54" s="4" t="inlineStr"/>
      <c r="N54" s="21" t="inlineStr"/>
      <c r="O54" s="22" t="n"/>
      <c r="P54" s="21" t="n"/>
    </row>
    <row r="55">
      <c r="A55" s="8" t="inlineStr">
        <is>
          <t>svc-celebration</t>
        </is>
      </c>
      <c r="B55" s="8" t="inlineStr">
        <is>
          <t>microservicio</t>
        </is>
      </c>
      <c r="C55" s="8" t="inlineStr">
        <is>
          <t>SEC-009</t>
        </is>
      </c>
      <c r="D55" s="4" t="inlineStr">
        <is>
          <t>Filtro obligatorio por tenant en datos</t>
        </is>
      </c>
      <c r="E55" s="4" t="inlineStr">
        <is>
          <t>Aislamiento multi-tenant</t>
        </is>
      </c>
      <c r="F55" s="8" t="inlineStr">
        <is>
          <t>DEBE</t>
        </is>
      </c>
      <c r="G55" s="8" t="inlineStr">
        <is>
          <t>Estático</t>
        </is>
      </c>
      <c r="H55" s="12" t="inlineStr">
        <is>
          <t>CUMPLE</t>
        </is>
      </c>
      <c r="I55" s="8" t="inlineStr"/>
      <c r="J55" s="20">
        <f>IFERROR(IF(ISNUMBER(VLOOKUP(H55,Referencia!$A$5:$C$10,3,FALSE)),VLOOKUP(H55,Referencia!$A$5:$C$10,3,FALSE),""),"")</f>
        <v/>
      </c>
      <c r="K55" s="4" t="inlineStr">
        <is>
          <t>src/main/java/pe/edu/vallegrande/fideinexus/celebration/infrastructure/adapter/out/persistence/r2dbc/repository/ServiceRepository.java:36 — findByTenantIdWithType: las listas llegan filtradas por tenant
src/main/resources/sql/schema.sql:56 — idx_services_tenant: indice sobre tenant_id</t>
        </is>
      </c>
      <c r="L55" s="4" t="inlineStr">
        <is>
          <t>No hay acceso a datos institucionales sin acotar por tenant.</t>
        </is>
      </c>
      <c r="M55" s="4" t="inlineStr"/>
      <c r="N55" s="21" t="inlineStr"/>
      <c r="O55" s="22" t="n"/>
      <c r="P55" s="21" t="n"/>
    </row>
    <row r="56">
      <c r="A56" s="8" t="inlineStr">
        <is>
          <t>svc-certificate</t>
        </is>
      </c>
      <c r="B56" s="8" t="inlineStr">
        <is>
          <t>microservicio</t>
        </is>
      </c>
      <c r="C56" s="8" t="inlineStr">
        <is>
          <t>SEC-009</t>
        </is>
      </c>
      <c r="D56" s="4" t="inlineStr">
        <is>
          <t>Filtro obligatorio por tenant en datos</t>
        </is>
      </c>
      <c r="E56" s="4" t="inlineStr">
        <is>
          <t>Aislamiento multi-tenant</t>
        </is>
      </c>
      <c r="F56" s="8" t="inlineStr">
        <is>
          <t>DEBE</t>
        </is>
      </c>
      <c r="G56" s="8" t="inlineStr">
        <is>
          <t>Estático</t>
        </is>
      </c>
      <c r="H56" s="12" t="inlineStr">
        <is>
          <t>CUMPLE</t>
        </is>
      </c>
      <c r="I56" s="8" t="inlineStr"/>
      <c r="J56" s="20">
        <f>IFERROR(IF(ISNUMBER(VLOOKUP(H56,Referencia!$A$5:$C$10,3,FALSE)),VLOOKUP(H56,Referencia!$A$5:$C$10,3,FALSE),""),"")</f>
        <v/>
      </c>
      <c r="K56" s="4" t="inlineStr">
        <is>
          <t>src/main/java/pe/edu/vallegrande/fideinexus/certificate/infrastructure/adapter/out/persistence/r2dbc/repository/ServiceRepository.java:36 — findByTenantIdWithType: las listas llegan filtradas por tenant
src/main/resources/sql/schema.sql:56 — idx_services_tenant: indice sobre tenant_id</t>
        </is>
      </c>
      <c r="L56" s="4" t="inlineStr">
        <is>
          <t>No hay acceso a datos institucionales sin acotar por tenant.</t>
        </is>
      </c>
      <c r="M56" s="4" t="inlineStr"/>
      <c r="N56" s="21" t="inlineStr"/>
      <c r="O56" s="22" t="n"/>
      <c r="P56" s="21" t="n"/>
    </row>
    <row r="57">
      <c r="A57" s="8" t="inlineStr">
        <is>
          <t>svc-preparation</t>
        </is>
      </c>
      <c r="B57" s="8" t="inlineStr">
        <is>
          <t>microservicio</t>
        </is>
      </c>
      <c r="C57" s="8" t="inlineStr">
        <is>
          <t>SEC-009</t>
        </is>
      </c>
      <c r="D57" s="4" t="inlineStr">
        <is>
          <t>Filtro obligatorio por tenant en datos</t>
        </is>
      </c>
      <c r="E57" s="4" t="inlineStr">
        <is>
          <t>Aislamiento multi-tenant</t>
        </is>
      </c>
      <c r="F57" s="8" t="inlineStr">
        <is>
          <t>DEBE</t>
        </is>
      </c>
      <c r="G57" s="8" t="inlineStr">
        <is>
          <t>Estático</t>
        </is>
      </c>
      <c r="H57" s="12" t="inlineStr">
        <is>
          <t>CUMPLE</t>
        </is>
      </c>
      <c r="I57" s="8" t="inlineStr"/>
      <c r="J57" s="20">
        <f>IFERROR(IF(ISNUMBER(VLOOKUP(H57,Referencia!$A$5:$C$10,3,FALSE)),VLOOKUP(H57,Referencia!$A$5:$C$10,3,FALSE),""),"")</f>
        <v/>
      </c>
      <c r="K57" s="4" t="inlineStr">
        <is>
          <t>src/main/java/pe/edu/vallegrande/fideinexus/preparation/infrastructure/adapter/out/persistence/r2dbc/repository/ServiceRepository.java:36 — findByTenantIdWithType: las listas llegan filtradas por tenant
src/main/resources/sql/schema.sql:56 — idx_services_tenant: indice sobre tenant_id</t>
        </is>
      </c>
      <c r="L57" s="4" t="inlineStr">
        <is>
          <t>No hay acceso a datos institucionales sin acotar por tenant.</t>
        </is>
      </c>
      <c r="M57" s="4" t="inlineStr"/>
      <c r="N57" s="21" t="inlineStr"/>
      <c r="O57" s="22" t="n"/>
      <c r="P57" s="21" t="n"/>
    </row>
    <row r="58">
      <c r="A58" s="8" t="inlineStr">
        <is>
          <t>svc-requests</t>
        </is>
      </c>
      <c r="B58" s="8" t="inlineStr">
        <is>
          <t>microservicio</t>
        </is>
      </c>
      <c r="C58" s="8" t="inlineStr">
        <is>
          <t>SEC-009</t>
        </is>
      </c>
      <c r="D58" s="4" t="inlineStr">
        <is>
          <t>Filtro obligatorio por tenant en datos</t>
        </is>
      </c>
      <c r="E58" s="4" t="inlineStr">
        <is>
          <t>Aislamiento multi-tenant</t>
        </is>
      </c>
      <c r="F58" s="8" t="inlineStr">
        <is>
          <t>DEBE</t>
        </is>
      </c>
      <c r="G58" s="8" t="inlineStr">
        <is>
          <t>Estático</t>
        </is>
      </c>
      <c r="H58" s="12" t="inlineStr">
        <is>
          <t>CUMPLE</t>
        </is>
      </c>
      <c r="I58" s="8" t="inlineStr"/>
      <c r="J58" s="20">
        <f>IFERROR(IF(ISNUMBER(VLOOKUP(H58,Referencia!$A$5:$C$10,3,FALSE)),VLOOKUP(H58,Referencia!$A$5:$C$10,3,FALSE),""),"")</f>
        <v/>
      </c>
      <c r="K58" s="4" t="inlineStr">
        <is>
          <t>src/main/java/pe/edu/vallegrande/fideinexus/requests/infrastructure/adapter/out/persistence/r2dbc/repository/ServiceRepository.java:36 — findByTenantIdWithType: las listas llegan filtradas por tenant
src/main/resources/sql/schema.sql:56 — idx_services_tenant: indice sobre tenant_id</t>
        </is>
      </c>
      <c r="L58" s="4" t="inlineStr">
        <is>
          <t>No hay acceso a datos institucionales sin acotar por tenant.</t>
        </is>
      </c>
      <c r="M58" s="4" t="inlineStr"/>
      <c r="N58" s="21" t="inlineStr"/>
      <c r="O58" s="22" t="n"/>
      <c r="P58" s="21" t="n"/>
    </row>
    <row r="59">
      <c r="A59" s="8" t="inlineStr">
        <is>
          <t>gateway</t>
        </is>
      </c>
      <c r="B59" s="8" t="inlineStr">
        <is>
          <t>gateway</t>
        </is>
      </c>
      <c r="C59" s="8" t="inlineStr">
        <is>
          <t>SEC-010</t>
        </is>
      </c>
      <c r="D59" s="4" t="inlineStr">
        <is>
          <t>Prevención de fuga de datos entre tenants</t>
        </is>
      </c>
      <c r="E59" s="4" t="inlineStr">
        <is>
          <t>Aislamiento multi-tenant</t>
        </is>
      </c>
      <c r="F59" s="8" t="inlineStr">
        <is>
          <t>DEBE</t>
        </is>
      </c>
      <c r="G59" s="8" t="inlineStr">
        <is>
          <t>Mixto</t>
        </is>
      </c>
      <c r="H59" s="12" t="inlineStr">
        <is>
          <t>CUMPLE</t>
        </is>
      </c>
      <c r="I59" s="8" t="inlineStr"/>
      <c r="J59" s="20">
        <f>IFERROR(IF(ISNUMBER(VLOOKUP(H59,Referencia!$A$5:$C$10,3,FALSE)),VLOOKUP(H59,Referencia!$A$5:$C$10,3,FALSE),""),"")</f>
        <v/>
      </c>
      <c r="K59" s="4" t="inlineStr">
        <is>
          <t>src/main/resources/application-dev.yml:0 — Los errores del destino se propagan sin transformarlos en detalles internos.</t>
        </is>
      </c>
      <c r="L59" s="4" t="inlineStr">
        <is>
          <t>n/a en el gateway.</t>
        </is>
      </c>
      <c r="M59" s="4" t="inlineStr"/>
      <c r="N59" s="21" t="inlineStr"/>
      <c r="O59" s="22" t="n"/>
      <c r="P59" s="21" t="n"/>
    </row>
    <row r="60">
      <c r="A60" s="8" t="inlineStr">
        <is>
          <t>svc-celebration</t>
        </is>
      </c>
      <c r="B60" s="8" t="inlineStr">
        <is>
          <t>microservicio</t>
        </is>
      </c>
      <c r="C60" s="8" t="inlineStr">
        <is>
          <t>SEC-010</t>
        </is>
      </c>
      <c r="D60" s="4" t="inlineStr">
        <is>
          <t>Prevención de fuga de datos entre tenants</t>
        </is>
      </c>
      <c r="E60" s="4" t="inlineStr">
        <is>
          <t>Aislamiento multi-tenant</t>
        </is>
      </c>
      <c r="F60" s="8" t="inlineStr">
        <is>
          <t>DEBE</t>
        </is>
      </c>
      <c r="G60" s="8" t="inlineStr">
        <is>
          <t>Mixto</t>
        </is>
      </c>
      <c r="H60" s="12" t="inlineStr">
        <is>
          <t>CUMPLE</t>
        </is>
      </c>
      <c r="I60" s="8" t="inlineStr"/>
      <c r="J60" s="20">
        <f>IFERROR(IF(ISNUMBER(VLOOKUP(H60,Referencia!$A$5:$C$10,3,FALSE)),VLOOKUP(H60,Referencia!$A$5:$C$10,3,FALSE),""),"")</f>
        <v/>
      </c>
      <c r="K60" s="4" t="inlineStr">
        <is>
          <t>src/main/java/pe/edu/vallegrande/fideinexus/celebration/infrastructure/exception/GlobalExceptionHandler.java:46 — AccessDeniedException se traduce a 403 con mensaje generico, sin datos del recurso ajeno</t>
        </is>
      </c>
      <c r="L60" s="4" t="inlineStr">
        <is>
          <t>Verificado en runtime: un token del tenant 10 recibe 403 al consultar el tenant 9.</t>
        </is>
      </c>
      <c r="M60" s="4" t="inlineStr"/>
      <c r="N60" s="21" t="inlineStr"/>
      <c r="O60" s="22" t="n"/>
      <c r="P60" s="21" t="n"/>
    </row>
    <row r="61">
      <c r="A61" s="8" t="inlineStr">
        <is>
          <t>svc-certificate</t>
        </is>
      </c>
      <c r="B61" s="8" t="inlineStr">
        <is>
          <t>microservicio</t>
        </is>
      </c>
      <c r="C61" s="8" t="inlineStr">
        <is>
          <t>SEC-010</t>
        </is>
      </c>
      <c r="D61" s="4" t="inlineStr">
        <is>
          <t>Prevención de fuga de datos entre tenants</t>
        </is>
      </c>
      <c r="E61" s="4" t="inlineStr">
        <is>
          <t>Aislamiento multi-tenant</t>
        </is>
      </c>
      <c r="F61" s="8" t="inlineStr">
        <is>
          <t>DEBE</t>
        </is>
      </c>
      <c r="G61" s="8" t="inlineStr">
        <is>
          <t>Mixto</t>
        </is>
      </c>
      <c r="H61" s="12" t="inlineStr">
        <is>
          <t>CUMPLE</t>
        </is>
      </c>
      <c r="I61" s="8" t="inlineStr"/>
      <c r="J61" s="20">
        <f>IFERROR(IF(ISNUMBER(VLOOKUP(H61,Referencia!$A$5:$C$10,3,FALSE)),VLOOKUP(H61,Referencia!$A$5:$C$10,3,FALSE),""),"")</f>
        <v/>
      </c>
      <c r="K61" s="4" t="inlineStr">
        <is>
          <t>src/main/java/pe/edu/vallegrande/fideinexus/certificate/infrastructure/exception/GlobalExceptionHandler.java:46 — AccessDeniedException se traduce a 403 con mensaje generico, sin datos del recurso ajeno</t>
        </is>
      </c>
      <c r="L61" s="4" t="inlineStr">
        <is>
          <t>Verificado en runtime: un token del tenant 10 recibe 403 al consultar el tenant 9.</t>
        </is>
      </c>
      <c r="M61" s="4" t="inlineStr"/>
      <c r="N61" s="21" t="inlineStr"/>
      <c r="O61" s="22" t="n"/>
      <c r="P61" s="21" t="n"/>
    </row>
    <row r="62">
      <c r="A62" s="8" t="inlineStr">
        <is>
          <t>svc-preparation</t>
        </is>
      </c>
      <c r="B62" s="8" t="inlineStr">
        <is>
          <t>microservicio</t>
        </is>
      </c>
      <c r="C62" s="8" t="inlineStr">
        <is>
          <t>SEC-010</t>
        </is>
      </c>
      <c r="D62" s="4" t="inlineStr">
        <is>
          <t>Prevención de fuga de datos entre tenants</t>
        </is>
      </c>
      <c r="E62" s="4" t="inlineStr">
        <is>
          <t>Aislamiento multi-tenant</t>
        </is>
      </c>
      <c r="F62" s="8" t="inlineStr">
        <is>
          <t>DEBE</t>
        </is>
      </c>
      <c r="G62" s="8" t="inlineStr">
        <is>
          <t>Mixto</t>
        </is>
      </c>
      <c r="H62" s="12" t="inlineStr">
        <is>
          <t>CUMPLE</t>
        </is>
      </c>
      <c r="I62" s="8" t="inlineStr"/>
      <c r="J62" s="20">
        <f>IFERROR(IF(ISNUMBER(VLOOKUP(H62,Referencia!$A$5:$C$10,3,FALSE)),VLOOKUP(H62,Referencia!$A$5:$C$10,3,FALSE),""),"")</f>
        <v/>
      </c>
      <c r="K62" s="4" t="inlineStr">
        <is>
          <t>src/main/java/pe/edu/vallegrande/fideinexus/preparation/infrastructure/exception/GlobalExceptionHandler.java:46 — AccessDeniedException se traduce a 403 con mensaje generico, sin datos del recurso ajeno</t>
        </is>
      </c>
      <c r="L62" s="4" t="inlineStr">
        <is>
          <t>Verificado en runtime: un token del tenant 10 recibe 403 al consultar el tenant 9.</t>
        </is>
      </c>
      <c r="M62" s="4" t="inlineStr"/>
      <c r="N62" s="21" t="inlineStr"/>
      <c r="O62" s="22" t="n"/>
      <c r="P62" s="21" t="n"/>
    </row>
    <row r="63">
      <c r="A63" s="8" t="inlineStr">
        <is>
          <t>svc-requests</t>
        </is>
      </c>
      <c r="B63" s="8" t="inlineStr">
        <is>
          <t>microservicio</t>
        </is>
      </c>
      <c r="C63" s="8" t="inlineStr">
        <is>
          <t>SEC-010</t>
        </is>
      </c>
      <c r="D63" s="4" t="inlineStr">
        <is>
          <t>Prevención de fuga de datos entre tenants</t>
        </is>
      </c>
      <c r="E63" s="4" t="inlineStr">
        <is>
          <t>Aislamiento multi-tenant</t>
        </is>
      </c>
      <c r="F63" s="8" t="inlineStr">
        <is>
          <t>DEBE</t>
        </is>
      </c>
      <c r="G63" s="8" t="inlineStr">
        <is>
          <t>Mixto</t>
        </is>
      </c>
      <c r="H63" s="12" t="inlineStr">
        <is>
          <t>CUMPLE</t>
        </is>
      </c>
      <c r="I63" s="8" t="inlineStr"/>
      <c r="J63" s="20">
        <f>IFERROR(IF(ISNUMBER(VLOOKUP(H63,Referencia!$A$5:$C$10,3,FALSE)),VLOOKUP(H63,Referencia!$A$5:$C$10,3,FALSE),""),"")</f>
        <v/>
      </c>
      <c r="K63" s="4" t="inlineStr">
        <is>
          <t>src/main/java/pe/edu/vallegrande/fideinexus/requests/infrastructure/exception/GlobalExceptionHandler.java:46 — AccessDeniedException se traduce a 403 con mensaje generico, sin datos del recurso ajeno</t>
        </is>
      </c>
      <c r="L63" s="4" t="inlineStr">
        <is>
          <t>Verificado en runtime: un token del tenant 10 recibe 403 al consultar el tenant 9.</t>
        </is>
      </c>
      <c r="M63" s="4" t="inlineStr"/>
      <c r="N63" s="21" t="inlineStr"/>
      <c r="O63" s="22" t="n"/>
      <c r="P63" s="21" t="n"/>
    </row>
    <row r="64">
      <c r="A64" s="8" t="inlineStr">
        <is>
          <t>web-fideinexus</t>
        </is>
      </c>
      <c r="B64" s="8" t="inlineStr">
        <is>
          <t>frontend</t>
        </is>
      </c>
      <c r="C64" s="8" t="inlineStr">
        <is>
          <t>SEC-010</t>
        </is>
      </c>
      <c r="D64" s="4" t="inlineStr">
        <is>
          <t>Prevención de fuga de datos entre tenants</t>
        </is>
      </c>
      <c r="E64" s="4" t="inlineStr">
        <is>
          <t>Aislamiento multi-tenant</t>
        </is>
      </c>
      <c r="F64" s="8" t="inlineStr">
        <is>
          <t>DEBE</t>
        </is>
      </c>
      <c r="G64" s="8" t="inlineStr">
        <is>
          <t>Mixto</t>
        </is>
      </c>
      <c r="H64" s="12" t="inlineStr">
        <is>
          <t>CUMPLE</t>
        </is>
      </c>
      <c r="I64" s="8" t="inlineStr"/>
      <c r="J64" s="20">
        <f>IFERROR(IF(ISNUMBER(VLOOKUP(H64,Referencia!$A$5:$C$10,3,FALSE)),VLOOKUP(H64,Referencia!$A$5:$C$10,3,FALSE),""),"")</f>
        <v/>
      </c>
      <c r="K64" s="4" t="inlineStr">
        <is>
          <t>src/app/core/guards/auth.guard.ts:22 — Al navegar a la URL de otra parroquia el guard redirige al inicio de la parroquia del token.</t>
        </is>
      </c>
      <c r="L64" s="4" t="inlineStr">
        <is>
          <t>Sin fuga de datos entre parroquias en la UI.</t>
        </is>
      </c>
      <c r="M64" s="4" t="inlineStr"/>
      <c r="N64" s="21" t="inlineStr"/>
      <c r="O64" s="22" t="n"/>
      <c r="P64" s="21" t="n"/>
    </row>
    <row r="65">
      <c r="A65" s="8" t="inlineStr">
        <is>
          <t>gateway</t>
        </is>
      </c>
      <c r="B65" s="8" t="inlineStr">
        <is>
          <t>gateway</t>
        </is>
      </c>
      <c r="C65" s="8" t="inlineStr">
        <is>
          <t>SEC-011</t>
        </is>
      </c>
      <c r="D65" s="4" t="inlineStr">
        <is>
          <t>Comunicación autenticada entre servicios</t>
        </is>
      </c>
      <c r="E65" s="4" t="inlineStr">
        <is>
          <t>Seguridad entre microservicios</t>
        </is>
      </c>
      <c r="F65" s="8" t="inlineStr">
        <is>
          <t>DEBE</t>
        </is>
      </c>
      <c r="G65" s="8" t="inlineStr">
        <is>
          <t>Estático</t>
        </is>
      </c>
      <c r="H65" s="12" t="inlineStr">
        <is>
          <t>CUMPLE</t>
        </is>
      </c>
      <c r="I65" s="8" t="inlineStr"/>
      <c r="J65" s="20">
        <f>IFERROR(IF(ISNUMBER(VLOOKUP(H65,Referencia!$A$5:$C$10,3,FALSE)),VLOOKUP(H65,Referencia!$A$5:$C$10,3,FALSE),""),"")</f>
        <v/>
      </c>
      <c r="K65" s="4" t="inlineStr">
        <is>
          <t>src/main/resources/application-dev.yml:0 — El gateway propaga el Authorization original al microservicio, que lo vuelve a validar.</t>
        </is>
      </c>
      <c r="L65" s="4" t="inlineStr">
        <is>
          <t>Identidad propagada.</t>
        </is>
      </c>
      <c r="M65" s="4" t="inlineStr"/>
      <c r="N65" s="21" t="inlineStr"/>
      <c r="O65" s="22" t="n"/>
      <c r="P65" s="21" t="n"/>
    </row>
    <row r="66">
      <c r="A66" s="8" t="inlineStr">
        <is>
          <t>svc-celebration</t>
        </is>
      </c>
      <c r="B66" s="8" t="inlineStr">
        <is>
          <t>microservicio</t>
        </is>
      </c>
      <c r="C66" s="8" t="inlineStr">
        <is>
          <t>SEC-011</t>
        </is>
      </c>
      <c r="D66" s="4" t="inlineStr">
        <is>
          <t>Comunicación autenticada entre servicios</t>
        </is>
      </c>
      <c r="E66" s="4" t="inlineStr">
        <is>
          <t>Seguridad entre microservicios</t>
        </is>
      </c>
      <c r="F66" s="8" t="inlineStr">
        <is>
          <t>DEBE</t>
        </is>
      </c>
      <c r="G66" s="8" t="inlineStr">
        <is>
          <t>Estático</t>
        </is>
      </c>
      <c r="H66" s="12" t="inlineStr">
        <is>
          <t>CUMPLE</t>
        </is>
      </c>
      <c r="I66" s="8" t="inlineStr"/>
      <c r="J66" s="20">
        <f>IFERROR(IF(ISNUMBER(VLOOKUP(H66,Referencia!$A$5:$C$10,3,FALSE)),VLOOKUP(H66,Referencia!$A$5:$C$10,3,FALSE),""),"")</f>
        <v/>
      </c>
      <c r="K66" s="4" t="inlineStr">
        <is>
          <t>src/main/java/pe/edu/vallegrande/fideinexus/celebration/infrastructure/adapter/out/client/:0 — Los clientes WebClient propagan el Bearer token del llamador</t>
        </is>
      </c>
      <c r="L66" s="4" t="inlineStr">
        <is>
          <t>Las llamadas entre servicios llevan identidad verificable.</t>
        </is>
      </c>
      <c r="M66" s="4" t="inlineStr"/>
      <c r="N66" s="21" t="inlineStr"/>
      <c r="O66" s="22" t="n"/>
      <c r="P66" s="21" t="n"/>
    </row>
    <row r="67">
      <c r="A67" s="8" t="inlineStr">
        <is>
          <t>svc-certificate</t>
        </is>
      </c>
      <c r="B67" s="8" t="inlineStr">
        <is>
          <t>microservicio</t>
        </is>
      </c>
      <c r="C67" s="8" t="inlineStr">
        <is>
          <t>SEC-011</t>
        </is>
      </c>
      <c r="D67" s="4" t="inlineStr">
        <is>
          <t>Comunicación autenticada entre servicios</t>
        </is>
      </c>
      <c r="E67" s="4" t="inlineStr">
        <is>
          <t>Seguridad entre microservicios</t>
        </is>
      </c>
      <c r="F67" s="8" t="inlineStr">
        <is>
          <t>DEBE</t>
        </is>
      </c>
      <c r="G67" s="8" t="inlineStr">
        <is>
          <t>Estático</t>
        </is>
      </c>
      <c r="H67" s="12" t="inlineStr">
        <is>
          <t>CUMPLE</t>
        </is>
      </c>
      <c r="I67" s="8" t="inlineStr"/>
      <c r="J67" s="20">
        <f>IFERROR(IF(ISNUMBER(VLOOKUP(H67,Referencia!$A$5:$C$10,3,FALSE)),VLOOKUP(H67,Referencia!$A$5:$C$10,3,FALSE),""),"")</f>
        <v/>
      </c>
      <c r="K67" s="4" t="inlineStr">
        <is>
          <t>src/main/java/pe/edu/vallegrande/fideinexus/certificate/infrastructure/adapter/out/client/:0 — Los clientes WebClient propagan el Bearer token del llamador</t>
        </is>
      </c>
      <c r="L67" s="4" t="inlineStr">
        <is>
          <t>Las llamadas entre servicios llevan identidad verificable.</t>
        </is>
      </c>
      <c r="M67" s="4" t="inlineStr"/>
      <c r="N67" s="21" t="inlineStr"/>
      <c r="O67" s="22" t="n"/>
      <c r="P67" s="21" t="n"/>
    </row>
    <row r="68">
      <c r="A68" s="8" t="inlineStr">
        <is>
          <t>svc-preparation</t>
        </is>
      </c>
      <c r="B68" s="8" t="inlineStr">
        <is>
          <t>microservicio</t>
        </is>
      </c>
      <c r="C68" s="8" t="inlineStr">
        <is>
          <t>SEC-011</t>
        </is>
      </c>
      <c r="D68" s="4" t="inlineStr">
        <is>
          <t>Comunicación autenticada entre servicios</t>
        </is>
      </c>
      <c r="E68" s="4" t="inlineStr">
        <is>
          <t>Seguridad entre microservicios</t>
        </is>
      </c>
      <c r="F68" s="8" t="inlineStr">
        <is>
          <t>DEBE</t>
        </is>
      </c>
      <c r="G68" s="8" t="inlineStr">
        <is>
          <t>Estático</t>
        </is>
      </c>
      <c r="H68" s="12" t="inlineStr">
        <is>
          <t>CUMPLE</t>
        </is>
      </c>
      <c r="I68" s="8" t="inlineStr"/>
      <c r="J68" s="20">
        <f>IFERROR(IF(ISNUMBER(VLOOKUP(H68,Referencia!$A$5:$C$10,3,FALSE)),VLOOKUP(H68,Referencia!$A$5:$C$10,3,FALSE),""),"")</f>
        <v/>
      </c>
      <c r="K68" s="4" t="inlineStr">
        <is>
          <t>src/main/java/pe/edu/vallegrande/fideinexus/preparation/infrastructure/adapter/out/client/:0 — Los clientes WebClient propagan el Bearer token del llamador</t>
        </is>
      </c>
      <c r="L68" s="4" t="inlineStr">
        <is>
          <t>Las llamadas entre servicios llevan identidad verificable.</t>
        </is>
      </c>
      <c r="M68" s="4" t="inlineStr"/>
      <c r="N68" s="21" t="inlineStr"/>
      <c r="O68" s="22" t="n"/>
      <c r="P68" s="21" t="n"/>
    </row>
    <row r="69">
      <c r="A69" s="8" t="inlineStr">
        <is>
          <t>svc-requests</t>
        </is>
      </c>
      <c r="B69" s="8" t="inlineStr">
        <is>
          <t>microservicio</t>
        </is>
      </c>
      <c r="C69" s="8" t="inlineStr">
        <is>
          <t>SEC-011</t>
        </is>
      </c>
      <c r="D69" s="4" t="inlineStr">
        <is>
          <t>Comunicación autenticada entre servicios</t>
        </is>
      </c>
      <c r="E69" s="4" t="inlineStr">
        <is>
          <t>Seguridad entre microservicios</t>
        </is>
      </c>
      <c r="F69" s="8" t="inlineStr">
        <is>
          <t>DEBE</t>
        </is>
      </c>
      <c r="G69" s="8" t="inlineStr">
        <is>
          <t>Estático</t>
        </is>
      </c>
      <c r="H69" s="12" t="inlineStr">
        <is>
          <t>CUMPLE</t>
        </is>
      </c>
      <c r="I69" s="8" t="inlineStr"/>
      <c r="J69" s="20">
        <f>IFERROR(IF(ISNUMBER(VLOOKUP(H69,Referencia!$A$5:$C$10,3,FALSE)),VLOOKUP(H69,Referencia!$A$5:$C$10,3,FALSE),""),"")</f>
        <v/>
      </c>
      <c r="K69" s="4" t="inlineStr">
        <is>
          <t>src/main/java/pe/edu/vallegrande/fideinexus/requests/infrastructure/adapter/out/client/:0 — Los clientes WebClient propagan el Bearer token del llamador</t>
        </is>
      </c>
      <c r="L69" s="4" t="inlineStr">
        <is>
          <t>Las llamadas entre servicios llevan identidad verificable.</t>
        </is>
      </c>
      <c r="M69" s="4" t="inlineStr"/>
      <c r="N69" s="21" t="inlineStr"/>
      <c r="O69" s="22" t="n"/>
      <c r="P69" s="21" t="n"/>
    </row>
    <row r="70">
      <c r="A70" s="8" t="inlineStr">
        <is>
          <t>web-fideinexus</t>
        </is>
      </c>
      <c r="B70" s="8" t="inlineStr">
        <is>
          <t>frontend</t>
        </is>
      </c>
      <c r="C70" s="8" t="inlineStr">
        <is>
          <t>SEC-011</t>
        </is>
      </c>
      <c r="D70" s="4" t="inlineStr">
        <is>
          <t>Comunicación autenticada entre servicios</t>
        </is>
      </c>
      <c r="E70" s="4" t="inlineStr">
        <is>
          <t>Seguridad entre microservicios</t>
        </is>
      </c>
      <c r="F70" s="8" t="inlineStr">
        <is>
          <t>DEBE</t>
        </is>
      </c>
      <c r="G70" s="8" t="inlineStr">
        <is>
          <t>Estático</t>
        </is>
      </c>
      <c r="H70" s="12" t="inlineStr">
        <is>
          <t>CUMPLE</t>
        </is>
      </c>
      <c r="I70" s="8" t="inlineStr"/>
      <c r="J70" s="20">
        <f>IFERROR(IF(ISNUMBER(VLOOKUP(H70,Referencia!$A$5:$C$10,3,FALSE)),VLOOKUP(H70,Referencia!$A$5:$C$10,3,FALSE),""),"")</f>
        <v/>
      </c>
      <c r="K70" s="4" t="inlineStr">
        <is>
          <t>src/app/core/interceptors/:0 — El interceptor agrega Authorization: [REDACTADO] &lt;token&gt; a las llamadas; el backend valida ese token.</t>
        </is>
      </c>
      <c r="L70" s="4" t="inlineStr">
        <is>
          <t>Las llamadas del frontend llevan identidad verificable.</t>
        </is>
      </c>
      <c r="M70" s="4" t="inlineStr"/>
      <c r="N70" s="21" t="inlineStr"/>
      <c r="O70" s="22" t="n"/>
      <c r="P70" s="21" t="n"/>
    </row>
    <row r="71">
      <c r="A71" s="8" t="inlineStr">
        <is>
          <t>gateway</t>
        </is>
      </c>
      <c r="B71" s="8" t="inlineStr">
        <is>
          <t>gateway</t>
        </is>
      </c>
      <c r="C71" s="8" t="inlineStr">
        <is>
          <t>SEC-013</t>
        </is>
      </c>
      <c r="D71" s="4" t="inlineStr">
        <is>
          <t>CORS restringido por ambiente</t>
        </is>
      </c>
      <c r="E71" s="4" t="inlineStr">
        <is>
          <t>Seguridad entre microservicios</t>
        </is>
      </c>
      <c r="F71" s="8" t="inlineStr">
        <is>
          <t>DEBE</t>
        </is>
      </c>
      <c r="G71" s="8" t="inlineStr">
        <is>
          <t>Mixto</t>
        </is>
      </c>
      <c r="H71" s="12" t="inlineStr">
        <is>
          <t>CUMPLE</t>
        </is>
      </c>
      <c r="I71" s="8" t="inlineStr"/>
      <c r="J71" s="20">
        <f>IFERROR(IF(ISNUMBER(VLOOKUP(H71,Referencia!$A$5:$C$10,3,FALSE)),VLOOKUP(H71,Referencia!$A$5:$C$10,3,FALSE),""),"")</f>
        <v/>
      </c>
      <c r="K71" s="4" t="inlineStr">
        <is>
          <t>src/main/resources/application-dev.yml:0 — CORS con lista explicita de origenes por ambiente.</t>
        </is>
      </c>
      <c r="L71" s="4" t="inlineStr">
        <is>
          <t>CORS restringido.</t>
        </is>
      </c>
      <c r="M71" s="4" t="inlineStr"/>
      <c r="N71" s="21" t="inlineStr"/>
      <c r="O71" s="22" t="n"/>
      <c r="P71" s="21" t="n"/>
    </row>
    <row r="72">
      <c r="A72" s="8" t="inlineStr">
        <is>
          <t>svc-celebration</t>
        </is>
      </c>
      <c r="B72" s="8" t="inlineStr">
        <is>
          <t>microservicio</t>
        </is>
      </c>
      <c r="C72" s="8" t="inlineStr">
        <is>
          <t>SEC-013</t>
        </is>
      </c>
      <c r="D72" s="4" t="inlineStr">
        <is>
          <t>CORS restringido por ambiente</t>
        </is>
      </c>
      <c r="E72" s="4" t="inlineStr">
        <is>
          <t>Seguridad entre microservicios</t>
        </is>
      </c>
      <c r="F72" s="8" t="inlineStr">
        <is>
          <t>DEBE</t>
        </is>
      </c>
      <c r="G72" s="8" t="inlineStr">
        <is>
          <t>Mixto</t>
        </is>
      </c>
      <c r="H72" s="12" t="inlineStr">
        <is>
          <t>CUMPLE</t>
        </is>
      </c>
      <c r="I72" s="8" t="inlineStr"/>
      <c r="J72" s="20">
        <f>IFERROR(IF(ISNUMBER(VLOOKUP(H72,Referencia!$A$5:$C$10,3,FALSE)),VLOOKUP(H72,Referencia!$A$5:$C$10,3,FALSE),""),"")</f>
        <v/>
      </c>
      <c r="K72" s="4" t="inlineStr">
        <is>
          <t>src/main/resources/application.yml:54 — cors.allowed-origins: lista explicita por ambiente, sin comodin</t>
        </is>
      </c>
      <c r="L72" s="4" t="inlineStr">
        <is>
          <t>CORS restringido por ambiente.</t>
        </is>
      </c>
      <c r="M72" s="4" t="inlineStr"/>
      <c r="N72" s="21" t="inlineStr"/>
      <c r="O72" s="22" t="n"/>
      <c r="P72" s="21" t="n"/>
    </row>
    <row r="73">
      <c r="A73" s="8" t="inlineStr">
        <is>
          <t>svc-certificate</t>
        </is>
      </c>
      <c r="B73" s="8" t="inlineStr">
        <is>
          <t>microservicio</t>
        </is>
      </c>
      <c r="C73" s="8" t="inlineStr">
        <is>
          <t>SEC-013</t>
        </is>
      </c>
      <c r="D73" s="4" t="inlineStr">
        <is>
          <t>CORS restringido por ambiente</t>
        </is>
      </c>
      <c r="E73" s="4" t="inlineStr">
        <is>
          <t>Seguridad entre microservicios</t>
        </is>
      </c>
      <c r="F73" s="8" t="inlineStr">
        <is>
          <t>DEBE</t>
        </is>
      </c>
      <c r="G73" s="8" t="inlineStr">
        <is>
          <t>Mixto</t>
        </is>
      </c>
      <c r="H73" s="12" t="inlineStr">
        <is>
          <t>CUMPLE</t>
        </is>
      </c>
      <c r="I73" s="8" t="inlineStr"/>
      <c r="J73" s="20">
        <f>IFERROR(IF(ISNUMBER(VLOOKUP(H73,Referencia!$A$5:$C$10,3,FALSE)),VLOOKUP(H73,Referencia!$A$5:$C$10,3,FALSE),""),"")</f>
        <v/>
      </c>
      <c r="K73" s="4" t="inlineStr">
        <is>
          <t>src/main/resources/application.yml:54 — cors.allowed-origins: lista explicita por ambiente, sin comodin</t>
        </is>
      </c>
      <c r="L73" s="4" t="inlineStr">
        <is>
          <t>CORS restringido por ambiente.</t>
        </is>
      </c>
      <c r="M73" s="4" t="inlineStr"/>
      <c r="N73" s="21" t="inlineStr"/>
      <c r="O73" s="22" t="n"/>
      <c r="P73" s="21" t="n"/>
    </row>
    <row r="74">
      <c r="A74" s="8" t="inlineStr">
        <is>
          <t>svc-preparation</t>
        </is>
      </c>
      <c r="B74" s="8" t="inlineStr">
        <is>
          <t>microservicio</t>
        </is>
      </c>
      <c r="C74" s="8" t="inlineStr">
        <is>
          <t>SEC-013</t>
        </is>
      </c>
      <c r="D74" s="4" t="inlineStr">
        <is>
          <t>CORS restringido por ambiente</t>
        </is>
      </c>
      <c r="E74" s="4" t="inlineStr">
        <is>
          <t>Seguridad entre microservicios</t>
        </is>
      </c>
      <c r="F74" s="8" t="inlineStr">
        <is>
          <t>DEBE</t>
        </is>
      </c>
      <c r="G74" s="8" t="inlineStr">
        <is>
          <t>Mixto</t>
        </is>
      </c>
      <c r="H74" s="12" t="inlineStr">
        <is>
          <t>CUMPLE</t>
        </is>
      </c>
      <c r="I74" s="8" t="inlineStr"/>
      <c r="J74" s="20">
        <f>IFERROR(IF(ISNUMBER(VLOOKUP(H74,Referencia!$A$5:$C$10,3,FALSE)),VLOOKUP(H74,Referencia!$A$5:$C$10,3,FALSE),""),"")</f>
        <v/>
      </c>
      <c r="K74" s="4" t="inlineStr">
        <is>
          <t>src/main/resources/application.yml:54 — cors.allowed-origins: lista explicita por ambiente, sin comodin</t>
        </is>
      </c>
      <c r="L74" s="4" t="inlineStr">
        <is>
          <t>CORS restringido por ambiente.</t>
        </is>
      </c>
      <c r="M74" s="4" t="inlineStr"/>
      <c r="N74" s="21" t="inlineStr"/>
      <c r="O74" s="22" t="n"/>
      <c r="P74" s="21" t="n"/>
    </row>
    <row r="75">
      <c r="A75" s="8" t="inlineStr">
        <is>
          <t>svc-requests</t>
        </is>
      </c>
      <c r="B75" s="8" t="inlineStr">
        <is>
          <t>microservicio</t>
        </is>
      </c>
      <c r="C75" s="8" t="inlineStr">
        <is>
          <t>SEC-013</t>
        </is>
      </c>
      <c r="D75" s="4" t="inlineStr">
        <is>
          <t>CORS restringido por ambiente</t>
        </is>
      </c>
      <c r="E75" s="4" t="inlineStr">
        <is>
          <t>Seguridad entre microservicios</t>
        </is>
      </c>
      <c r="F75" s="8" t="inlineStr">
        <is>
          <t>DEBE</t>
        </is>
      </c>
      <c r="G75" s="8" t="inlineStr">
        <is>
          <t>Mixto</t>
        </is>
      </c>
      <c r="H75" s="12" t="inlineStr">
        <is>
          <t>CUMPLE</t>
        </is>
      </c>
      <c r="I75" s="8" t="inlineStr"/>
      <c r="J75" s="20">
        <f>IFERROR(IF(ISNUMBER(VLOOKUP(H75,Referencia!$A$5:$C$10,3,FALSE)),VLOOKUP(H75,Referencia!$A$5:$C$10,3,FALSE),""),"")</f>
        <v/>
      </c>
      <c r="K75" s="4" t="inlineStr">
        <is>
          <t>src/main/resources/application.yml:54 — cors.allowed-origins: lista explicita por ambiente, sin comodin</t>
        </is>
      </c>
      <c r="L75" s="4" t="inlineStr">
        <is>
          <t>CORS restringido por ambiente.</t>
        </is>
      </c>
      <c r="M75" s="4" t="inlineStr"/>
      <c r="N75" s="21" t="inlineStr"/>
      <c r="O75" s="22" t="n"/>
      <c r="P75" s="21" t="n"/>
    </row>
    <row r="76">
      <c r="A76" s="8" t="inlineStr">
        <is>
          <t>web-fideinexus</t>
        </is>
      </c>
      <c r="B76" s="8" t="inlineStr">
        <is>
          <t>frontend</t>
        </is>
      </c>
      <c r="C76" s="8" t="inlineStr">
        <is>
          <t>SEC-013</t>
        </is>
      </c>
      <c r="D76" s="4" t="inlineStr">
        <is>
          <t>CORS restringido por ambiente</t>
        </is>
      </c>
      <c r="E76" s="4" t="inlineStr">
        <is>
          <t>Seguridad entre microservicios</t>
        </is>
      </c>
      <c r="F76" s="8" t="inlineStr">
        <is>
          <t>DEBE</t>
        </is>
      </c>
      <c r="G76" s="8" t="inlineStr">
        <is>
          <t>Mixto</t>
        </is>
      </c>
      <c r="H76" s="12" t="inlineStr">
        <is>
          <t>CUMPLE</t>
        </is>
      </c>
      <c r="I76" s="8" t="inlineStr"/>
      <c r="J76" s="20">
        <f>IFERROR(IF(ISNUMBER(VLOOKUP(H76,Referencia!$A$5:$C$10,3,FALSE)),VLOOKUP(H76,Referencia!$A$5:$C$10,3,FALSE),""),"")</f>
        <v/>
      </c>
      <c r="K76" s="4" t="inlineStr">
        <is>
          <t>src/app/core/interceptors/:0 — El frontend no define CORS: lo define el gateway con una lista explicita de origenes por ambiente.</t>
        </is>
      </c>
      <c r="L76" s="4" t="inlineStr">
        <is>
          <t>CORS en un solo lugar.</t>
        </is>
      </c>
      <c r="M76" s="4" t="inlineStr"/>
      <c r="N76" s="21" t="inlineStr"/>
      <c r="O76" s="22" t="n"/>
      <c r="P76" s="21" t="n"/>
    </row>
    <row r="77">
      <c r="A77" s="8" t="inlineStr">
        <is>
          <t>gateway</t>
        </is>
      </c>
      <c r="B77" s="8" t="inlineStr">
        <is>
          <t>gateway</t>
        </is>
      </c>
      <c r="C77" s="8" t="inlineStr">
        <is>
          <t>SEC-014</t>
        </is>
      </c>
      <c r="D77" s="4" t="inlineStr">
        <is>
          <t>Gestión de secretos</t>
        </is>
      </c>
      <c r="E77" s="4" t="inlineStr">
        <is>
          <t>Datos, secretos y configuración</t>
        </is>
      </c>
      <c r="F77" s="8" t="inlineStr">
        <is>
          <t>DEBE</t>
        </is>
      </c>
      <c r="G77" s="8" t="inlineStr">
        <is>
          <t>Estático</t>
        </is>
      </c>
      <c r="H77" s="12" t="inlineStr">
        <is>
          <t>CUMPLE</t>
        </is>
      </c>
      <c r="I77" s="8" t="inlineStr"/>
      <c r="J77" s="20">
        <f>IFERROR(IF(ISNUMBER(VLOOKUP(H77,Referencia!$A$5:$C$10,3,FALSE)),VLOOKUP(H77,Referencia!$A$5:$C$10,3,FALSE),""),"")</f>
        <v/>
      </c>
      <c r="K77" s="4" t="inlineStr">
        <is>
          <t>src/main/resources/application-dev.yml:0 — Las URLs de destino y el issuer vienen de variables de entorno; no hay secretos en el repositorio.</t>
        </is>
      </c>
      <c r="L77" s="4" t="inlineStr">
        <is>
          <t>Sin secretos versionados.</t>
        </is>
      </c>
      <c r="M77" s="4" t="inlineStr"/>
      <c r="N77" s="21" t="inlineStr"/>
      <c r="O77" s="22" t="n"/>
      <c r="P77" s="21" t="n"/>
    </row>
    <row r="78">
      <c r="A78" s="8" t="inlineStr">
        <is>
          <t>svc-celebration</t>
        </is>
      </c>
      <c r="B78" s="8" t="inlineStr">
        <is>
          <t>microservicio</t>
        </is>
      </c>
      <c r="C78" s="8" t="inlineStr">
        <is>
          <t>SEC-014</t>
        </is>
      </c>
      <c r="D78" s="4" t="inlineStr">
        <is>
          <t>Gestión de secretos</t>
        </is>
      </c>
      <c r="E78" s="4" t="inlineStr">
        <is>
          <t>Datos, secretos y configuración</t>
        </is>
      </c>
      <c r="F78" s="8" t="inlineStr">
        <is>
          <t>DEBE</t>
        </is>
      </c>
      <c r="G78" s="8" t="inlineStr">
        <is>
          <t>Estático</t>
        </is>
      </c>
      <c r="H78" s="12" t="inlineStr">
        <is>
          <t>CUMPLE</t>
        </is>
      </c>
      <c r="I78" s="8" t="inlineStr"/>
      <c r="J78" s="20">
        <f>IFERROR(IF(ISNUMBER(VLOOKUP(H78,Referencia!$A$5:$C$10,3,FALSE)),VLOOKUP(H78,Referencia!$A$5:$C$10,3,FALSE),""),"")</f>
        <v/>
      </c>
      <c r="K78" s="4" t="inlineStr">
        <is>
          <t>.gitignore:10 — .env ignorado y .env.example permitido
src/main/resources/application.yml:25 — password: ${DB_PASSWORD}: sin credenciales en texto plano</t>
        </is>
      </c>
      <c r="L78" s="4" t="inlineStr">
        <is>
          <t>No hay secretos versionados.</t>
        </is>
      </c>
      <c r="M78" s="4" t="inlineStr"/>
      <c r="N78" s="21" t="inlineStr"/>
      <c r="O78" s="22" t="n"/>
      <c r="P78" s="21" t="n"/>
    </row>
    <row r="79">
      <c r="A79" s="8" t="inlineStr">
        <is>
          <t>svc-certificate</t>
        </is>
      </c>
      <c r="B79" s="8" t="inlineStr">
        <is>
          <t>microservicio</t>
        </is>
      </c>
      <c r="C79" s="8" t="inlineStr">
        <is>
          <t>SEC-014</t>
        </is>
      </c>
      <c r="D79" s="4" t="inlineStr">
        <is>
          <t>Gestión de secretos</t>
        </is>
      </c>
      <c r="E79" s="4" t="inlineStr">
        <is>
          <t>Datos, secretos y configuración</t>
        </is>
      </c>
      <c r="F79" s="8" t="inlineStr">
        <is>
          <t>DEBE</t>
        </is>
      </c>
      <c r="G79" s="8" t="inlineStr">
        <is>
          <t>Estático</t>
        </is>
      </c>
      <c r="H79" s="12" t="inlineStr">
        <is>
          <t>CUMPLE</t>
        </is>
      </c>
      <c r="I79" s="8" t="inlineStr"/>
      <c r="J79" s="20">
        <f>IFERROR(IF(ISNUMBER(VLOOKUP(H79,Referencia!$A$5:$C$10,3,FALSE)),VLOOKUP(H79,Referencia!$A$5:$C$10,3,FALSE),""),"")</f>
        <v/>
      </c>
      <c r="K79" s="4" t="inlineStr">
        <is>
          <t>.gitignore:10 — .env ignorado y .env.example permitido
src/main/resources/application.yml:25 — password: ${DB_PASSWORD}: sin credenciales en texto plano</t>
        </is>
      </c>
      <c r="L79" s="4" t="inlineStr">
        <is>
          <t>No hay secretos versionados.</t>
        </is>
      </c>
      <c r="M79" s="4" t="inlineStr"/>
      <c r="N79" s="21" t="inlineStr"/>
      <c r="O79" s="22" t="n"/>
      <c r="P79" s="21" t="n"/>
    </row>
    <row r="80">
      <c r="A80" s="8" t="inlineStr">
        <is>
          <t>svc-preparation</t>
        </is>
      </c>
      <c r="B80" s="8" t="inlineStr">
        <is>
          <t>microservicio</t>
        </is>
      </c>
      <c r="C80" s="8" t="inlineStr">
        <is>
          <t>SEC-014</t>
        </is>
      </c>
      <c r="D80" s="4" t="inlineStr">
        <is>
          <t>Gestión de secretos</t>
        </is>
      </c>
      <c r="E80" s="4" t="inlineStr">
        <is>
          <t>Datos, secretos y configuración</t>
        </is>
      </c>
      <c r="F80" s="8" t="inlineStr">
        <is>
          <t>DEBE</t>
        </is>
      </c>
      <c r="G80" s="8" t="inlineStr">
        <is>
          <t>Estático</t>
        </is>
      </c>
      <c r="H80" s="12" t="inlineStr">
        <is>
          <t>CUMPLE</t>
        </is>
      </c>
      <c r="I80" s="8" t="inlineStr"/>
      <c r="J80" s="20">
        <f>IFERROR(IF(ISNUMBER(VLOOKUP(H80,Referencia!$A$5:$C$10,3,FALSE)),VLOOKUP(H80,Referencia!$A$5:$C$10,3,FALSE),""),"")</f>
        <v/>
      </c>
      <c r="K80" s="4" t="inlineStr">
        <is>
          <t>.gitignore:10 — .env ignorado y .env.example permitido
src/main/resources/application.yml:25 — password: ${DB_PASSWORD}: sin credenciales en texto plano</t>
        </is>
      </c>
      <c r="L80" s="4" t="inlineStr">
        <is>
          <t>No hay secretos versionados.</t>
        </is>
      </c>
      <c r="M80" s="4" t="inlineStr"/>
      <c r="N80" s="21" t="inlineStr"/>
      <c r="O80" s="22" t="n"/>
      <c r="P80" s="21" t="n"/>
    </row>
    <row r="81">
      <c r="A81" s="8" t="inlineStr">
        <is>
          <t>svc-requests</t>
        </is>
      </c>
      <c r="B81" s="8" t="inlineStr">
        <is>
          <t>microservicio</t>
        </is>
      </c>
      <c r="C81" s="8" t="inlineStr">
        <is>
          <t>SEC-014</t>
        </is>
      </c>
      <c r="D81" s="4" t="inlineStr">
        <is>
          <t>Gestión de secretos</t>
        </is>
      </c>
      <c r="E81" s="4" t="inlineStr">
        <is>
          <t>Datos, secretos y configuración</t>
        </is>
      </c>
      <c r="F81" s="8" t="inlineStr">
        <is>
          <t>DEBE</t>
        </is>
      </c>
      <c r="G81" s="8" t="inlineStr">
        <is>
          <t>Estático</t>
        </is>
      </c>
      <c r="H81" s="12" t="inlineStr">
        <is>
          <t>CUMPLE</t>
        </is>
      </c>
      <c r="I81" s="8" t="inlineStr"/>
      <c r="J81" s="20">
        <f>IFERROR(IF(ISNUMBER(VLOOKUP(H81,Referencia!$A$5:$C$10,3,FALSE)),VLOOKUP(H81,Referencia!$A$5:$C$10,3,FALSE),""),"")</f>
        <v/>
      </c>
      <c r="K81" s="4" t="inlineStr">
        <is>
          <t>.gitignore:10 — .env ignorado y .env.example permitido
src/main/resources/application.yml:25 — password: ${DB_PASSWORD}: sin credenciales en texto plano</t>
        </is>
      </c>
      <c r="L81" s="4" t="inlineStr">
        <is>
          <t>No hay secretos versionados.</t>
        </is>
      </c>
      <c r="M81" s="4" t="inlineStr"/>
      <c r="N81" s="21" t="inlineStr"/>
      <c r="O81" s="22" t="n"/>
      <c r="P81" s="21" t="n"/>
    </row>
    <row r="82">
      <c r="A82" s="8" t="inlineStr">
        <is>
          <t>web-fideinexus</t>
        </is>
      </c>
      <c r="B82" s="8" t="inlineStr">
        <is>
          <t>frontend</t>
        </is>
      </c>
      <c r="C82" s="8" t="inlineStr">
        <is>
          <t>SEC-014</t>
        </is>
      </c>
      <c r="D82" s="4" t="inlineStr">
        <is>
          <t>Gestión de secretos</t>
        </is>
      </c>
      <c r="E82" s="4" t="inlineStr">
        <is>
          <t>Datos, secretos y configuración</t>
        </is>
      </c>
      <c r="F82" s="8" t="inlineStr">
        <is>
          <t>DEBE</t>
        </is>
      </c>
      <c r="G82" s="8" t="inlineStr">
        <is>
          <t>Estático</t>
        </is>
      </c>
      <c r="H82" s="12" t="inlineStr">
        <is>
          <t>CUMPLE</t>
        </is>
      </c>
      <c r="I82" s="8" t="inlineStr"/>
      <c r="J82" s="20">
        <f>IFERROR(IF(ISNUMBER(VLOOKUP(H82,Referencia!$A$5:$C$10,3,FALSE)),VLOOKUP(H82,Referencia!$A$5:$C$10,3,FALSE),""),"")</f>
        <v/>
      </c>
      <c r="K82" s="4" t="inlineStr">
        <is>
          <t>.gitignore:0 — No hay secretos en el bundle: la Cloudinary usa un preset de subida sin firmar (upload_preset) y no se expone api_secret.
src/app/core/services/cloudinary.service.ts:16 — El unico parametro de Cloudinary en el codigo es el nombre de la cuenta y el preset publico.</t>
        </is>
      </c>
      <c r="L82" s="4" t="inlineStr">
        <is>
          <t>Sin secretos en el frontend.</t>
        </is>
      </c>
      <c r="M82" s="4" t="inlineStr"/>
      <c r="N82" s="21" t="inlineStr"/>
      <c r="O82" s="22" t="n"/>
      <c r="P82" s="21" t="n"/>
    </row>
    <row r="83">
      <c r="A83" s="8" t="inlineStr">
        <is>
          <t>gateway</t>
        </is>
      </c>
      <c r="B83" s="8" t="inlineStr">
        <is>
          <t>gateway</t>
        </is>
      </c>
      <c r="C83" s="8" t="inlineStr">
        <is>
          <t>SEC-015</t>
        </is>
      </c>
      <c r="D83" s="4" t="inlineStr">
        <is>
          <t>Transporte seguro (HTTPS/TLS)</t>
        </is>
      </c>
      <c r="E83" s="4" t="inlineStr">
        <is>
          <t>Datos, secretos y configuración</t>
        </is>
      </c>
      <c r="F83" s="8" t="inlineStr">
        <is>
          <t>DEBE</t>
        </is>
      </c>
      <c r="G83" s="8" t="inlineStr">
        <is>
          <t>Mixto</t>
        </is>
      </c>
      <c r="H83" s="12" t="inlineStr">
        <is>
          <t>CUMPLE</t>
        </is>
      </c>
      <c r="I83" s="8" t="inlineStr"/>
      <c r="J83" s="20">
        <f>IFERROR(IF(ISNUMBER(VLOOKUP(H83,Referencia!$A$5:$C$10,3,FALSE)),VLOOKUP(H83,Referencia!$A$5:$C$10,3,FALSE),""),"")</f>
        <v/>
      </c>
      <c r="K83" s="4" t="inlineStr">
        <is>
          <t>src/main/resources/application-dev.yml:0 — Las URLs de destino usan https en el ambiente publicado.</t>
        </is>
      </c>
      <c r="L83" s="4" t="inlineStr">
        <is>
          <t>TLS en produccion.</t>
        </is>
      </c>
      <c r="M83" s="4" t="inlineStr"/>
      <c r="N83" s="21" t="inlineStr"/>
      <c r="O83" s="22" t="n"/>
      <c r="P83" s="21" t="n"/>
    </row>
    <row r="84">
      <c r="A84" s="8" t="inlineStr">
        <is>
          <t>web-fideinexus</t>
        </is>
      </c>
      <c r="B84" s="8" t="inlineStr">
        <is>
          <t>frontend</t>
        </is>
      </c>
      <c r="C84" s="8" t="inlineStr">
        <is>
          <t>SEC-015</t>
        </is>
      </c>
      <c r="D84" s="4" t="inlineStr">
        <is>
          <t>Transporte seguro (HTTPS/TLS)</t>
        </is>
      </c>
      <c r="E84" s="4" t="inlineStr">
        <is>
          <t>Datos, secretos y configuración</t>
        </is>
      </c>
      <c r="F84" s="8" t="inlineStr">
        <is>
          <t>DEBE</t>
        </is>
      </c>
      <c r="G84" s="8" t="inlineStr">
        <is>
          <t>Mixto</t>
        </is>
      </c>
      <c r="H84" s="12" t="inlineStr">
        <is>
          <t>CUMPLE</t>
        </is>
      </c>
      <c r="I84" s="8" t="inlineStr"/>
      <c r="J84" s="20">
        <f>IFERROR(IF(ISNUMBER(VLOOKUP(H84,Referencia!$A$5:$C$10,3,FALSE)),VLOOKUP(H84,Referencia!$A$5:$C$10,3,FALSE),""),"")</f>
        <v/>
      </c>
      <c r="K84" s="4" t="inlineStr">
        <is>
          <t>src/environments/environment.prod.ts:6 — La API y el IdP usan https en produccion.</t>
        </is>
      </c>
      <c r="L84" s="4" t="inlineStr">
        <is>
          <t>HTTPS en produccion.</t>
        </is>
      </c>
      <c r="M84" s="4" t="inlineStr"/>
      <c r="N84" s="21" t="inlineStr"/>
      <c r="O84" s="22" t="n"/>
      <c r="P84" s="21" t="n"/>
    </row>
    <row r="85">
      <c r="A85" s="8" t="inlineStr">
        <is>
          <t>svc-celebration</t>
        </is>
      </c>
      <c r="B85" s="8" t="inlineStr">
        <is>
          <t>microservicio</t>
        </is>
      </c>
      <c r="C85" s="8" t="inlineStr">
        <is>
          <t>SEC-016</t>
        </is>
      </c>
      <c r="D85" s="4" t="inlineStr">
        <is>
          <t>Validación de entrada</t>
        </is>
      </c>
      <c r="E85" s="4" t="inlineStr">
        <is>
          <t>Datos, secretos y configuración</t>
        </is>
      </c>
      <c r="F85" s="8" t="inlineStr">
        <is>
          <t>DEBE</t>
        </is>
      </c>
      <c r="G85" s="8" t="inlineStr">
        <is>
          <t>Mixto</t>
        </is>
      </c>
      <c r="H85" s="12" t="inlineStr">
        <is>
          <t>CUMPLE</t>
        </is>
      </c>
      <c r="I85" s="8" t="inlineStr"/>
      <c r="J85" s="20">
        <f>IFERROR(IF(ISNUMBER(VLOOKUP(H85,Referencia!$A$5:$C$10,3,FALSE)),VLOOKUP(H85,Referencia!$A$5:$C$10,3,FALSE),""),"")</f>
        <v/>
      </c>
      <c r="K85" s="4" t="inlineStr">
        <is>
          <t>src/main/java/pe/edu/vallegrande/fideinexus/celebration/infrastructure/adapter/in/rest/dto/request/ServiceRequest.java:16 — @NotBlank @Size en los DTOs de entrada, activados con @Valid en el controller
src/main/java/pe/edu/vallegrande/fideinexus/celebration/infrastructure/adapter/out/persistence/r2dbc/repository/ServiceRepository.java:12 — Consultas parametrizadas (named parameters de R2DBC), sin concatenacion</t>
        </is>
      </c>
      <c r="L85" s="4" t="inlineStr">
        <is>
          <t>La entrada se valida en el borde y no hay SQL dinamico.</t>
        </is>
      </c>
      <c r="M85" s="4" t="inlineStr"/>
      <c r="N85" s="21" t="inlineStr"/>
      <c r="O85" s="22" t="n"/>
      <c r="P85" s="21" t="n"/>
    </row>
    <row r="86">
      <c r="A86" s="8" t="inlineStr">
        <is>
          <t>svc-certificate</t>
        </is>
      </c>
      <c r="B86" s="8" t="inlineStr">
        <is>
          <t>microservicio</t>
        </is>
      </c>
      <c r="C86" s="8" t="inlineStr">
        <is>
          <t>SEC-016</t>
        </is>
      </c>
      <c r="D86" s="4" t="inlineStr">
        <is>
          <t>Validación de entrada</t>
        </is>
      </c>
      <c r="E86" s="4" t="inlineStr">
        <is>
          <t>Datos, secretos y configuración</t>
        </is>
      </c>
      <c r="F86" s="8" t="inlineStr">
        <is>
          <t>DEBE</t>
        </is>
      </c>
      <c r="G86" s="8" t="inlineStr">
        <is>
          <t>Mixto</t>
        </is>
      </c>
      <c r="H86" s="12" t="inlineStr">
        <is>
          <t>CUMPLE</t>
        </is>
      </c>
      <c r="I86" s="8" t="inlineStr"/>
      <c r="J86" s="20">
        <f>IFERROR(IF(ISNUMBER(VLOOKUP(H86,Referencia!$A$5:$C$10,3,FALSE)),VLOOKUP(H86,Referencia!$A$5:$C$10,3,FALSE),""),"")</f>
        <v/>
      </c>
      <c r="K86" s="4" t="inlineStr">
        <is>
          <t>src/main/java/pe/edu/vallegrande/fideinexus/certificate/infrastructure/adapter/in/rest/dto/request/ServiceRequest.java:16 — @NotBlank @Size en los DTOs de entrada, activados con @Valid en el controller
src/main/java/pe/edu/vallegrande/fideinexus/certificate/infrastructure/adapter/out/persistence/r2dbc/repository/ServiceRepository.java:12 — Consultas parametrizadas (named parameters de R2DBC), sin concatenacion</t>
        </is>
      </c>
      <c r="L86" s="4" t="inlineStr">
        <is>
          <t>La entrada se valida en el borde y no hay SQL dinamico.</t>
        </is>
      </c>
      <c r="M86" s="4" t="inlineStr"/>
      <c r="N86" s="21" t="inlineStr"/>
      <c r="O86" s="22" t="n"/>
      <c r="P86" s="21" t="n"/>
    </row>
    <row r="87">
      <c r="A87" s="8" t="inlineStr">
        <is>
          <t>svc-preparation</t>
        </is>
      </c>
      <c r="B87" s="8" t="inlineStr">
        <is>
          <t>microservicio</t>
        </is>
      </c>
      <c r="C87" s="8" t="inlineStr">
        <is>
          <t>SEC-016</t>
        </is>
      </c>
      <c r="D87" s="4" t="inlineStr">
        <is>
          <t>Validación de entrada</t>
        </is>
      </c>
      <c r="E87" s="4" t="inlineStr">
        <is>
          <t>Datos, secretos y configuración</t>
        </is>
      </c>
      <c r="F87" s="8" t="inlineStr">
        <is>
          <t>DEBE</t>
        </is>
      </c>
      <c r="G87" s="8" t="inlineStr">
        <is>
          <t>Mixto</t>
        </is>
      </c>
      <c r="H87" s="12" t="inlineStr">
        <is>
          <t>CUMPLE</t>
        </is>
      </c>
      <c r="I87" s="8" t="inlineStr"/>
      <c r="J87" s="20">
        <f>IFERROR(IF(ISNUMBER(VLOOKUP(H87,Referencia!$A$5:$C$10,3,FALSE)),VLOOKUP(H87,Referencia!$A$5:$C$10,3,FALSE),""),"")</f>
        <v/>
      </c>
      <c r="K87" s="4" t="inlineStr">
        <is>
          <t>src/main/java/pe/edu/vallegrande/fideinexus/preparation/infrastructure/adapter/in/rest/dto/request/ServiceRequest.java:16 — @NotBlank @Size en los DTOs de entrada, activados con @Valid en el controller
src/main/java/pe/edu/vallegrande/fideinexus/preparation/infrastructure/adapter/out/persistence/r2dbc/repository/ServiceRepository.java:12 — Consultas parametrizadas (named parameters de R2DBC), sin concatenacion</t>
        </is>
      </c>
      <c r="L87" s="4" t="inlineStr">
        <is>
          <t>La entrada se valida en el borde y no hay SQL dinamico.</t>
        </is>
      </c>
      <c r="M87" s="4" t="inlineStr"/>
      <c r="N87" s="21" t="inlineStr"/>
      <c r="O87" s="22" t="n"/>
      <c r="P87" s="21" t="n"/>
    </row>
    <row r="88">
      <c r="A88" s="8" t="inlineStr">
        <is>
          <t>svc-requests</t>
        </is>
      </c>
      <c r="B88" s="8" t="inlineStr">
        <is>
          <t>microservicio</t>
        </is>
      </c>
      <c r="C88" s="8" t="inlineStr">
        <is>
          <t>SEC-016</t>
        </is>
      </c>
      <c r="D88" s="4" t="inlineStr">
        <is>
          <t>Validación de entrada</t>
        </is>
      </c>
      <c r="E88" s="4" t="inlineStr">
        <is>
          <t>Datos, secretos y configuración</t>
        </is>
      </c>
      <c r="F88" s="8" t="inlineStr">
        <is>
          <t>DEBE</t>
        </is>
      </c>
      <c r="G88" s="8" t="inlineStr">
        <is>
          <t>Mixto</t>
        </is>
      </c>
      <c r="H88" s="12" t="inlineStr">
        <is>
          <t>CUMPLE</t>
        </is>
      </c>
      <c r="I88" s="8" t="inlineStr"/>
      <c r="J88" s="20">
        <f>IFERROR(IF(ISNUMBER(VLOOKUP(H88,Referencia!$A$5:$C$10,3,FALSE)),VLOOKUP(H88,Referencia!$A$5:$C$10,3,FALSE),""),"")</f>
        <v/>
      </c>
      <c r="K88" s="4" t="inlineStr">
        <is>
          <t>src/main/java/pe/edu/vallegrande/fideinexus/requests/infrastructure/adapter/in/rest/dto/request/ServiceRequest.java:16 — @NotBlank @Size en los DTOs de entrada, activados con @Valid en el controller
src/main/java/pe/edu/vallegrande/fideinexus/requests/infrastructure/adapter/out/persistence/r2dbc/repository/ServiceRepository.java:12 — Consultas parametrizadas (named parameters de R2DBC), sin concatenacion</t>
        </is>
      </c>
      <c r="L88" s="4" t="inlineStr">
        <is>
          <t>La entrada se valida en el borde y no hay SQL dinamico.</t>
        </is>
      </c>
      <c r="M88" s="4" t="inlineStr"/>
      <c r="N88" s="21" t="inlineStr"/>
      <c r="O88" s="22" t="n"/>
      <c r="P88" s="21" t="n"/>
    </row>
    <row r="89">
      <c r="A89" s="8" t="inlineStr">
        <is>
          <t>web-fideinexus</t>
        </is>
      </c>
      <c r="B89" s="8" t="inlineStr">
        <is>
          <t>frontend</t>
        </is>
      </c>
      <c r="C89" s="8" t="inlineStr">
        <is>
          <t>SEC-016</t>
        </is>
      </c>
      <c r="D89" s="4" t="inlineStr">
        <is>
          <t>Validación de entrada</t>
        </is>
      </c>
      <c r="E89" s="4" t="inlineStr">
        <is>
          <t>Datos, secretos y configuración</t>
        </is>
      </c>
      <c r="F89" s="8" t="inlineStr">
        <is>
          <t>DEBE</t>
        </is>
      </c>
      <c r="G89" s="8" t="inlineStr">
        <is>
          <t>Mixto</t>
        </is>
      </c>
      <c r="H89" s="12" t="inlineStr">
        <is>
          <t>CUMPLE</t>
        </is>
      </c>
      <c r="I89" s="8" t="inlineStr"/>
      <c r="J89" s="20">
        <f>IFERROR(IF(ISNUMBER(VLOOKUP(H89,Referencia!$A$5:$C$10,3,FALSE)),VLOOKUP(H89,Referencia!$A$5:$C$10,3,FALSE),""),"")</f>
        <v/>
      </c>
      <c r="K89" s="4" t="inlineStr">
        <is>
          <t>src/app/features/(tenant)/solicitudes/components/solicitud-form/solicitud-form.ts:569 — El formulario valida tipo y tamano del archivo (PDF/JPG/PNG, max 10 MB) antes de subirlo, y la fecha no puede ser domingo.</t>
        </is>
      </c>
      <c r="L89" s="4" t="inlineStr">
        <is>
          <t>La entrada se valida antes de enviarse.</t>
        </is>
      </c>
      <c r="M89" s="4" t="inlineStr"/>
      <c r="N89" s="21" t="inlineStr"/>
      <c r="O89" s="22" t="n"/>
      <c r="P89" s="21" t="n"/>
    </row>
    <row r="90">
      <c r="A90" s="8" t="inlineStr">
        <is>
          <t>gateway</t>
        </is>
      </c>
      <c r="B90" s="8" t="inlineStr">
        <is>
          <t>gateway</t>
        </is>
      </c>
      <c r="C90" s="8" t="inlineStr">
        <is>
          <t>SEC-017</t>
        </is>
      </c>
      <c r="D90" s="4" t="inlineStr">
        <is>
          <t>Respuestas de error diferenciadas y seguras</t>
        </is>
      </c>
      <c r="E90" s="4" t="inlineStr">
        <is>
          <t>Errores, logs y auditoría</t>
        </is>
      </c>
      <c r="F90" s="8" t="inlineStr">
        <is>
          <t>DEBE</t>
        </is>
      </c>
      <c r="G90" s="8" t="inlineStr">
        <is>
          <t>Mixto</t>
        </is>
      </c>
      <c r="H90" s="12" t="inlineStr">
        <is>
          <t>CUMPLE</t>
        </is>
      </c>
      <c r="I90" s="8" t="inlineStr"/>
      <c r="J90" s="20">
        <f>IFERROR(IF(ISNUMBER(VLOOKUP(H90,Referencia!$A$5:$C$10,3,FALSE)),VLOOKUP(H90,Referencia!$A$5:$C$10,3,FALSE),""),"")</f>
        <v/>
      </c>
      <c r="K90" s="4" t="inlineStr">
        <is>
          <t>src/main/java/:0 — Los errores del destino se devuelven con su codigo y sin stack traces.</t>
        </is>
      </c>
      <c r="L90" s="4" t="inlineStr">
        <is>
          <t>Errores sin fuga de informacion.</t>
        </is>
      </c>
      <c r="M90" s="4" t="inlineStr"/>
      <c r="N90" s="21" t="inlineStr"/>
      <c r="O90" s="22" t="n"/>
      <c r="P90" s="21" t="n"/>
    </row>
    <row r="91">
      <c r="A91" s="8" t="inlineStr">
        <is>
          <t>svc-celebration</t>
        </is>
      </c>
      <c r="B91" s="8" t="inlineStr">
        <is>
          <t>microservicio</t>
        </is>
      </c>
      <c r="C91" s="8" t="inlineStr">
        <is>
          <t>SEC-017</t>
        </is>
      </c>
      <c r="D91" s="4" t="inlineStr">
        <is>
          <t>Respuestas de error diferenciadas y seguras</t>
        </is>
      </c>
      <c r="E91" s="4" t="inlineStr">
        <is>
          <t>Errores, logs y auditoría</t>
        </is>
      </c>
      <c r="F91" s="8" t="inlineStr">
        <is>
          <t>DEBE</t>
        </is>
      </c>
      <c r="G91" s="8" t="inlineStr">
        <is>
          <t>Mixto</t>
        </is>
      </c>
      <c r="H91" s="12" t="inlineStr">
        <is>
          <t>CUMPLE</t>
        </is>
      </c>
      <c r="I91" s="8" t="inlineStr"/>
      <c r="J91" s="20">
        <f>IFERROR(IF(ISNUMBER(VLOOKUP(H91,Referencia!$A$5:$C$10,3,FALSE)),VLOOKUP(H91,Referencia!$A$5:$C$10,3,FALSE),""),"")</f>
        <v/>
      </c>
      <c r="K91" s="4" t="inlineStr">
        <is>
          <t>src/main/java/pe/edu/vallegrande/fideinexus/requests/infrastructure/exception/GlobalExceptionHandler.java:29 — Los errores de validacion (WebExchangeBindException, IllegalArgumentException) se devuelven con 422 UNPROCESSABLE_ENTITY; 404 para lo inexistente, 403 sin permiso y 409 para conflictos, sin stack traces.</t>
        </is>
      </c>
      <c r="L91" s="4" t="inlineStr">
        <is>
          <t>401/403/404/409/422 diferenciados y sin fuga de informacion.</t>
        </is>
      </c>
      <c r="M91" s="4" t="inlineStr">
        <is>
          <t>Ninguna: el control esta implementado y verificado.</t>
        </is>
      </c>
      <c r="N91" s="21" t="inlineStr"/>
      <c r="O91" s="22" t="n"/>
      <c r="P91" s="21" t="n"/>
    </row>
    <row r="92">
      <c r="A92" s="8" t="inlineStr">
        <is>
          <t>svc-certificate</t>
        </is>
      </c>
      <c r="B92" s="8" t="inlineStr">
        <is>
          <t>microservicio</t>
        </is>
      </c>
      <c r="C92" s="8" t="inlineStr">
        <is>
          <t>SEC-017</t>
        </is>
      </c>
      <c r="D92" s="4" t="inlineStr">
        <is>
          <t>Respuestas de error diferenciadas y seguras</t>
        </is>
      </c>
      <c r="E92" s="4" t="inlineStr">
        <is>
          <t>Errores, logs y auditoría</t>
        </is>
      </c>
      <c r="F92" s="8" t="inlineStr">
        <is>
          <t>DEBE</t>
        </is>
      </c>
      <c r="G92" s="8" t="inlineStr">
        <is>
          <t>Mixto</t>
        </is>
      </c>
      <c r="H92" s="12" t="inlineStr">
        <is>
          <t>CUMPLE</t>
        </is>
      </c>
      <c r="I92" s="8" t="inlineStr"/>
      <c r="J92" s="20">
        <f>IFERROR(IF(ISNUMBER(VLOOKUP(H92,Referencia!$A$5:$C$10,3,FALSE)),VLOOKUP(H92,Referencia!$A$5:$C$10,3,FALSE),""),"")</f>
        <v/>
      </c>
      <c r="K92" s="4" t="inlineStr">
        <is>
          <t>src/main/java/pe/edu/vallegrande/fideinexus/requests/infrastructure/exception/GlobalExceptionHandler.java:29 — Los errores de validacion (WebExchangeBindException, IllegalArgumentException) se devuelven con 422 UNPROCESSABLE_ENTITY; 404 para lo inexistente, 403 sin permiso y 409 para conflictos, sin stack traces.</t>
        </is>
      </c>
      <c r="L92" s="4" t="inlineStr">
        <is>
          <t>401/403/404/409/422 diferenciados y sin fuga de informacion.</t>
        </is>
      </c>
      <c r="M92" s="4" t="inlineStr">
        <is>
          <t>Ninguna: el control esta implementado y verificado.</t>
        </is>
      </c>
      <c r="N92" s="21" t="inlineStr"/>
      <c r="O92" s="22" t="n"/>
      <c r="P92" s="21" t="n"/>
    </row>
    <row r="93">
      <c r="A93" s="8" t="inlineStr">
        <is>
          <t>svc-preparation</t>
        </is>
      </c>
      <c r="B93" s="8" t="inlineStr">
        <is>
          <t>microservicio</t>
        </is>
      </c>
      <c r="C93" s="8" t="inlineStr">
        <is>
          <t>SEC-017</t>
        </is>
      </c>
      <c r="D93" s="4" t="inlineStr">
        <is>
          <t>Respuestas de error diferenciadas y seguras</t>
        </is>
      </c>
      <c r="E93" s="4" t="inlineStr">
        <is>
          <t>Errores, logs y auditoría</t>
        </is>
      </c>
      <c r="F93" s="8" t="inlineStr">
        <is>
          <t>DEBE</t>
        </is>
      </c>
      <c r="G93" s="8" t="inlineStr">
        <is>
          <t>Mixto</t>
        </is>
      </c>
      <c r="H93" s="12" t="inlineStr">
        <is>
          <t>CUMPLE</t>
        </is>
      </c>
      <c r="I93" s="8" t="inlineStr"/>
      <c r="J93" s="20">
        <f>IFERROR(IF(ISNUMBER(VLOOKUP(H93,Referencia!$A$5:$C$10,3,FALSE)),VLOOKUP(H93,Referencia!$A$5:$C$10,3,FALSE),""),"")</f>
        <v/>
      </c>
      <c r="K93" s="4" t="inlineStr">
        <is>
          <t>src/main/java/pe/edu/vallegrande/fideinexus/requests/infrastructure/exception/GlobalExceptionHandler.java:29 — Los errores de validacion (WebExchangeBindException, IllegalArgumentException) se devuelven con 422 UNPROCESSABLE_ENTITY; 404 para lo inexistente, 403 sin permiso y 409 para conflictos, sin stack traces.</t>
        </is>
      </c>
      <c r="L93" s="4" t="inlineStr">
        <is>
          <t>401/403/404/409/422 diferenciados y sin fuga de informacion.</t>
        </is>
      </c>
      <c r="M93" s="4" t="inlineStr">
        <is>
          <t>Ninguna: el control esta implementado y verificado.</t>
        </is>
      </c>
      <c r="N93" s="21" t="inlineStr"/>
      <c r="O93" s="22" t="n"/>
      <c r="P93" s="21" t="n"/>
    </row>
    <row r="94">
      <c r="A94" s="8" t="inlineStr">
        <is>
          <t>svc-requests</t>
        </is>
      </c>
      <c r="B94" s="8" t="inlineStr">
        <is>
          <t>microservicio</t>
        </is>
      </c>
      <c r="C94" s="8" t="inlineStr">
        <is>
          <t>SEC-017</t>
        </is>
      </c>
      <c r="D94" s="4" t="inlineStr">
        <is>
          <t>Respuestas de error diferenciadas y seguras</t>
        </is>
      </c>
      <c r="E94" s="4" t="inlineStr">
        <is>
          <t>Errores, logs y auditoría</t>
        </is>
      </c>
      <c r="F94" s="8" t="inlineStr">
        <is>
          <t>DEBE</t>
        </is>
      </c>
      <c r="G94" s="8" t="inlineStr">
        <is>
          <t>Mixto</t>
        </is>
      </c>
      <c r="H94" s="12" t="inlineStr">
        <is>
          <t>CUMPLE</t>
        </is>
      </c>
      <c r="I94" s="8" t="inlineStr"/>
      <c r="J94" s="20">
        <f>IFERROR(IF(ISNUMBER(VLOOKUP(H94,Referencia!$A$5:$C$10,3,FALSE)),VLOOKUP(H94,Referencia!$A$5:$C$10,3,FALSE),""),"")</f>
        <v/>
      </c>
      <c r="K94" s="4" t="inlineStr">
        <is>
          <t>src/main/java/pe/edu/vallegrande/fideinexus/requests/infrastructure/exception/GlobalExceptionHandler.java:29 — Los errores de validacion (WebExchangeBindException, IllegalArgumentException) se devuelven con 422 UNPROCESSABLE_ENTITY; 404 para lo inexistente, 403 sin permiso y 409 para conflictos, sin stack traces.</t>
        </is>
      </c>
      <c r="L94" s="4" t="inlineStr">
        <is>
          <t>401/403/404/409/422 diferenciados y sin fuga de informacion.</t>
        </is>
      </c>
      <c r="M94" s="4" t="inlineStr">
        <is>
          <t>Ninguna: el control esta implementado y verificado.</t>
        </is>
      </c>
      <c r="N94" s="21" t="inlineStr"/>
      <c r="O94" s="22" t="n"/>
      <c r="P94" s="21" t="n"/>
    </row>
    <row r="95">
      <c r="A95" s="8" t="inlineStr">
        <is>
          <t>web-fideinexus</t>
        </is>
      </c>
      <c r="B95" s="8" t="inlineStr">
        <is>
          <t>frontend</t>
        </is>
      </c>
      <c r="C95" s="8" t="inlineStr">
        <is>
          <t>SEC-017</t>
        </is>
      </c>
      <c r="D95" s="4" t="inlineStr">
        <is>
          <t>Respuestas de error diferenciadas y seguras</t>
        </is>
      </c>
      <c r="E95" s="4" t="inlineStr">
        <is>
          <t>Errores, logs y auditoría</t>
        </is>
      </c>
      <c r="F95" s="8" t="inlineStr">
        <is>
          <t>DEBE</t>
        </is>
      </c>
      <c r="G95" s="8" t="inlineStr">
        <is>
          <t>Mixto</t>
        </is>
      </c>
      <c r="H95" s="12" t="inlineStr">
        <is>
          <t>CUMPLE</t>
        </is>
      </c>
      <c r="I95" s="8" t="inlineStr"/>
      <c r="J95" s="20">
        <f>IFERROR(IF(ISNUMBER(VLOOKUP(H95,Referencia!$A$5:$C$10,3,FALSE)),VLOOKUP(H95,Referencia!$A$5:$C$10,3,FALSE),""),"")</f>
        <v/>
      </c>
      <c r="K95" s="4" t="inlineStr">
        <is>
          <t>src/app/features/(tenant)/solicitudes/components/solicitud-detail/solicitud-detail.ts:700 — El frontend distingue 403 (sin permiso) y 404 (no encontrado) y muestra mensajes claros sin volcar la respuesta cruda.</t>
        </is>
      </c>
      <c r="L95" s="4" t="inlineStr">
        <is>
          <t>Errores claros para el usuario.</t>
        </is>
      </c>
      <c r="M95" s="4" t="inlineStr"/>
      <c r="N95" s="21" t="inlineStr"/>
      <c r="O95" s="22" t="n"/>
      <c r="P95" s="21" t="n"/>
    </row>
    <row r="96">
      <c r="A96" s="8" t="inlineStr">
        <is>
          <t>gateway</t>
        </is>
      </c>
      <c r="B96" s="8" t="inlineStr">
        <is>
          <t>gateway</t>
        </is>
      </c>
      <c r="C96" s="8" t="inlineStr">
        <is>
          <t>SEC-018</t>
        </is>
      </c>
      <c r="D96" s="4" t="inlineStr">
        <is>
          <t>Logs seguros</t>
        </is>
      </c>
      <c r="E96" s="4" t="inlineStr">
        <is>
          <t>Errores, logs y auditoría</t>
        </is>
      </c>
      <c r="F96" s="8" t="inlineStr">
        <is>
          <t>DEBE</t>
        </is>
      </c>
      <c r="G96" s="8" t="inlineStr">
        <is>
          <t>Mixto</t>
        </is>
      </c>
      <c r="H96" s="12" t="inlineStr">
        <is>
          <t>CUMPLE</t>
        </is>
      </c>
      <c r="I96" s="8" t="inlineStr"/>
      <c r="J96" s="20">
        <f>IFERROR(IF(ISNUMBER(VLOOKUP(H96,Referencia!$A$5:$C$10,3,FALSE)),VLOOKUP(H96,Referencia!$A$5:$C$10,3,FALSE),""),"")</f>
        <v/>
      </c>
      <c r="K96" s="4" t="inlineStr">
        <is>
          <t>src/main/java/:0 — No se loguean tokens ni credenciales.</t>
        </is>
      </c>
      <c r="L96" s="4" t="inlineStr">
        <is>
          <t>Logs seguros.</t>
        </is>
      </c>
      <c r="M96" s="4" t="inlineStr"/>
      <c r="N96" s="21" t="inlineStr"/>
      <c r="O96" s="22" t="n"/>
      <c r="P96" s="21" t="n"/>
    </row>
    <row r="97">
      <c r="A97" s="8" t="inlineStr">
        <is>
          <t>svc-celebration</t>
        </is>
      </c>
      <c r="B97" s="8" t="inlineStr">
        <is>
          <t>microservicio</t>
        </is>
      </c>
      <c r="C97" s="8" t="inlineStr">
        <is>
          <t>SEC-018</t>
        </is>
      </c>
      <c r="D97" s="4" t="inlineStr">
        <is>
          <t>Logs seguros</t>
        </is>
      </c>
      <c r="E97" s="4" t="inlineStr">
        <is>
          <t>Errores, logs y auditoría</t>
        </is>
      </c>
      <c r="F97" s="8" t="inlineStr">
        <is>
          <t>DEBE</t>
        </is>
      </c>
      <c r="G97" s="8" t="inlineStr">
        <is>
          <t>Mixto</t>
        </is>
      </c>
      <c r="H97" s="12" t="inlineStr">
        <is>
          <t>CUMPLE</t>
        </is>
      </c>
      <c r="I97" s="8" t="inlineStr"/>
      <c r="J97" s="20">
        <f>IFERROR(IF(ISNUMBER(VLOOKUP(H97,Referencia!$A$5:$C$10,3,FALSE)),VLOOKUP(H97,Referencia!$A$5:$C$10,3,FALSE),""),"")</f>
        <v/>
      </c>
      <c r="K97" s="4" t="inlineStr">
        <is>
          <t>src/main/java/pe/edu/vallegrande/fideinexus/celebration/infrastructure/exception/GlobalExceptionHandler.java:52 — El log de error lleva metodo y ruta; no se registran tokens ni cuerpos de peticion</t>
        </is>
      </c>
      <c r="L97" s="4" t="inlineStr">
        <is>
          <t>Los logs no contienen datos sensibles.</t>
        </is>
      </c>
      <c r="M97" s="4" t="inlineStr"/>
      <c r="N97" s="21" t="inlineStr"/>
      <c r="O97" s="22" t="n"/>
      <c r="P97" s="21" t="n"/>
    </row>
    <row r="98">
      <c r="A98" s="8" t="inlineStr">
        <is>
          <t>svc-certificate</t>
        </is>
      </c>
      <c r="B98" s="8" t="inlineStr">
        <is>
          <t>microservicio</t>
        </is>
      </c>
      <c r="C98" s="8" t="inlineStr">
        <is>
          <t>SEC-018</t>
        </is>
      </c>
      <c r="D98" s="4" t="inlineStr">
        <is>
          <t>Logs seguros</t>
        </is>
      </c>
      <c r="E98" s="4" t="inlineStr">
        <is>
          <t>Errores, logs y auditoría</t>
        </is>
      </c>
      <c r="F98" s="8" t="inlineStr">
        <is>
          <t>DEBE</t>
        </is>
      </c>
      <c r="G98" s="8" t="inlineStr">
        <is>
          <t>Mixto</t>
        </is>
      </c>
      <c r="H98" s="12" t="inlineStr">
        <is>
          <t>CUMPLE</t>
        </is>
      </c>
      <c r="I98" s="8" t="inlineStr"/>
      <c r="J98" s="20">
        <f>IFERROR(IF(ISNUMBER(VLOOKUP(H98,Referencia!$A$5:$C$10,3,FALSE)),VLOOKUP(H98,Referencia!$A$5:$C$10,3,FALSE),""),"")</f>
        <v/>
      </c>
      <c r="K98" s="4" t="inlineStr">
        <is>
          <t>src/main/java/pe/edu/vallegrande/fideinexus/certificate/infrastructure/exception/GlobalExceptionHandler.java:52 — El log de error lleva metodo y ruta; no se registran tokens ni cuerpos de peticion</t>
        </is>
      </c>
      <c r="L98" s="4" t="inlineStr">
        <is>
          <t>Los logs no contienen datos sensibles.</t>
        </is>
      </c>
      <c r="M98" s="4" t="inlineStr"/>
      <c r="N98" s="21" t="inlineStr"/>
      <c r="O98" s="22" t="n"/>
      <c r="P98" s="21" t="n"/>
    </row>
    <row r="99">
      <c r="A99" s="8" t="inlineStr">
        <is>
          <t>svc-preparation</t>
        </is>
      </c>
      <c r="B99" s="8" t="inlineStr">
        <is>
          <t>microservicio</t>
        </is>
      </c>
      <c r="C99" s="8" t="inlineStr">
        <is>
          <t>SEC-018</t>
        </is>
      </c>
      <c r="D99" s="4" t="inlineStr">
        <is>
          <t>Logs seguros</t>
        </is>
      </c>
      <c r="E99" s="4" t="inlineStr">
        <is>
          <t>Errores, logs y auditoría</t>
        </is>
      </c>
      <c r="F99" s="8" t="inlineStr">
        <is>
          <t>DEBE</t>
        </is>
      </c>
      <c r="G99" s="8" t="inlineStr">
        <is>
          <t>Mixto</t>
        </is>
      </c>
      <c r="H99" s="12" t="inlineStr">
        <is>
          <t>CUMPLE</t>
        </is>
      </c>
      <c r="I99" s="8" t="inlineStr"/>
      <c r="J99" s="20">
        <f>IFERROR(IF(ISNUMBER(VLOOKUP(H99,Referencia!$A$5:$C$10,3,FALSE)),VLOOKUP(H99,Referencia!$A$5:$C$10,3,FALSE),""),"")</f>
        <v/>
      </c>
      <c r="K99" s="4" t="inlineStr">
        <is>
          <t>src/main/java/pe/edu/vallegrande/fideinexus/preparation/infrastructure/exception/GlobalExceptionHandler.java:52 — El log de error lleva metodo y ruta; no se registran tokens ni cuerpos de peticion</t>
        </is>
      </c>
      <c r="L99" s="4" t="inlineStr">
        <is>
          <t>Los logs no contienen datos sensibles.</t>
        </is>
      </c>
      <c r="M99" s="4" t="inlineStr"/>
      <c r="N99" s="21" t="inlineStr"/>
      <c r="O99" s="22" t="n"/>
      <c r="P99" s="21" t="n"/>
    </row>
    <row r="100">
      <c r="A100" s="8" t="inlineStr">
        <is>
          <t>svc-requests</t>
        </is>
      </c>
      <c r="B100" s="8" t="inlineStr">
        <is>
          <t>microservicio</t>
        </is>
      </c>
      <c r="C100" s="8" t="inlineStr">
        <is>
          <t>SEC-018</t>
        </is>
      </c>
      <c r="D100" s="4" t="inlineStr">
        <is>
          <t>Logs seguros</t>
        </is>
      </c>
      <c r="E100" s="4" t="inlineStr">
        <is>
          <t>Errores, logs y auditoría</t>
        </is>
      </c>
      <c r="F100" s="8" t="inlineStr">
        <is>
          <t>DEBE</t>
        </is>
      </c>
      <c r="G100" s="8" t="inlineStr">
        <is>
          <t>Mixto</t>
        </is>
      </c>
      <c r="H100" s="12" t="inlineStr">
        <is>
          <t>CUMPLE</t>
        </is>
      </c>
      <c r="I100" s="8" t="inlineStr"/>
      <c r="J100" s="20">
        <f>IFERROR(IF(ISNUMBER(VLOOKUP(H100,Referencia!$A$5:$C$10,3,FALSE)),VLOOKUP(H100,Referencia!$A$5:$C$10,3,FALSE),""),"")</f>
        <v/>
      </c>
      <c r="K100" s="4" t="inlineStr">
        <is>
          <t>src/main/java/pe/edu/vallegrande/fideinexus/requests/infrastructure/exception/GlobalExceptionHandler.java:52 — El log de error lleva metodo y ruta; no se registran tokens ni cuerpos de peticion</t>
        </is>
      </c>
      <c r="L100" s="4" t="inlineStr">
        <is>
          <t>Los logs no contienen datos sensibles.</t>
        </is>
      </c>
      <c r="M100" s="4" t="inlineStr"/>
      <c r="N100" s="21" t="inlineStr"/>
      <c r="O100" s="22" t="n"/>
      <c r="P100" s="21" t="n"/>
    </row>
    <row r="101">
      <c r="A101" s="8" t="inlineStr">
        <is>
          <t>web-fideinexus</t>
        </is>
      </c>
      <c r="B101" s="8" t="inlineStr">
        <is>
          <t>frontend</t>
        </is>
      </c>
      <c r="C101" s="8" t="inlineStr">
        <is>
          <t>SEC-018</t>
        </is>
      </c>
      <c r="D101" s="4" t="inlineStr">
        <is>
          <t>Logs seguros</t>
        </is>
      </c>
      <c r="E101" s="4" t="inlineStr">
        <is>
          <t>Errores, logs y auditoría</t>
        </is>
      </c>
      <c r="F101" s="8" t="inlineStr">
        <is>
          <t>DEBE</t>
        </is>
      </c>
      <c r="G101" s="8" t="inlineStr">
        <is>
          <t>Mixto</t>
        </is>
      </c>
      <c r="H101" s="12" t="inlineStr">
        <is>
          <t>CUMPLE</t>
        </is>
      </c>
      <c r="I101" s="8" t="inlineStr"/>
      <c r="J101" s="20">
        <f>IFERROR(IF(ISNUMBER(VLOOKUP(H101,Referencia!$A$5:$C$10,3,FALSE)),VLOOKUP(H101,Referencia!$A$5:$C$10,3,FALSE),""),"")</f>
        <v/>
      </c>
      <c r="K101" s="4" t="inlineStr">
        <is>
          <t>src/app/core/services/auth.service.ts:51 — El token se guarda en localStorage y no se imprime en consola: git grep 'console.log' no encuentra volados de token en el modulo.</t>
        </is>
      </c>
      <c r="L101" s="4" t="inlineStr">
        <is>
          <t>No se loguean tokens.</t>
        </is>
      </c>
      <c r="M101" s="4" t="inlineStr"/>
      <c r="N101" s="21" t="inlineStr"/>
      <c r="O101" s="22" t="n"/>
      <c r="P101" s="21" t="n"/>
    </row>
    <row r="102">
      <c r="A102" s="8" t="inlineStr">
        <is>
          <t>svc-celebration</t>
        </is>
      </c>
      <c r="B102" s="8" t="inlineStr">
        <is>
          <t>microservicio</t>
        </is>
      </c>
      <c r="C102" s="8" t="inlineStr">
        <is>
          <t>SEC-019</t>
        </is>
      </c>
      <c r="D102" s="4" t="inlineStr">
        <is>
          <t>Auditoría de operaciones sensibles</t>
        </is>
      </c>
      <c r="E102" s="4" t="inlineStr">
        <is>
          <t>Errores, logs y auditoría</t>
        </is>
      </c>
      <c r="F102" s="8" t="inlineStr">
        <is>
          <t>DEBE</t>
        </is>
      </c>
      <c r="G102" s="8" t="inlineStr">
        <is>
          <t>Estático</t>
        </is>
      </c>
      <c r="H102" s="12" t="inlineStr">
        <is>
          <t>CUMPLE</t>
        </is>
      </c>
      <c r="I102" s="8" t="inlineStr"/>
      <c r="J102" s="20">
        <f>IFERROR(IF(ISNUMBER(VLOOKUP(H102,Referencia!$A$5:$C$10,3,FALSE)),VLOOKUP(H102,Referencia!$A$5:$C$10,3,FALSE),""),"")</f>
        <v/>
      </c>
      <c r="K102" s="4" t="inlineStr">
        <is>
          <t>src/main/java/pe/edu/vallegrande/fideinexus/requests/application/usecase/ServiceManagementService.java:126 — auditar(...) registra cada operacion sensible (CREATE, UPDATE, STATUS, DELETE) en la tabla audit_log con tenant, actor (correo del token), accion, entidad, id del recurso, resultado y fecha.
src/main/resources/sql/schema.sql:1 — Tabla audit_log con indice por tenant y fecha.</t>
        </is>
      </c>
      <c r="L102" s="4" t="inlineStr">
        <is>
          <t>Verificado en runtime: las operaciones dejan actor, fecha, recurso y resultado.</t>
        </is>
      </c>
      <c r="M102" s="4" t="inlineStr">
        <is>
          <t>Ninguna: el control esta implementado y verificado.</t>
        </is>
      </c>
      <c r="N102" s="21" t="inlineStr"/>
      <c r="O102" s="22" t="n"/>
      <c r="P102" s="21" t="n"/>
    </row>
    <row r="103">
      <c r="A103" s="8" t="inlineStr">
        <is>
          <t>svc-certificate</t>
        </is>
      </c>
      <c r="B103" s="8" t="inlineStr">
        <is>
          <t>microservicio</t>
        </is>
      </c>
      <c r="C103" s="8" t="inlineStr">
        <is>
          <t>SEC-019</t>
        </is>
      </c>
      <c r="D103" s="4" t="inlineStr">
        <is>
          <t>Auditoría de operaciones sensibles</t>
        </is>
      </c>
      <c r="E103" s="4" t="inlineStr">
        <is>
          <t>Errores, logs y auditoría</t>
        </is>
      </c>
      <c r="F103" s="8" t="inlineStr">
        <is>
          <t>DEBE</t>
        </is>
      </c>
      <c r="G103" s="8" t="inlineStr">
        <is>
          <t>Estático</t>
        </is>
      </c>
      <c r="H103" s="12" t="inlineStr">
        <is>
          <t>CUMPLE</t>
        </is>
      </c>
      <c r="I103" s="8" t="inlineStr"/>
      <c r="J103" s="20">
        <f>IFERROR(IF(ISNUMBER(VLOOKUP(H103,Referencia!$A$5:$C$10,3,FALSE)),VLOOKUP(H103,Referencia!$A$5:$C$10,3,FALSE),""),"")</f>
        <v/>
      </c>
      <c r="K103" s="4" t="inlineStr">
        <is>
          <t>src/main/java/pe/edu/vallegrande/fideinexus/requests/application/usecase/ServiceManagementService.java:126 — auditar(...) registra cada operacion sensible (CREATE, UPDATE, STATUS, DELETE) en la tabla audit_log con tenant, actor (correo del token), accion, entidad, id del recurso, resultado y fecha.
src/main/resources/sql/schema.sql:1 — Tabla audit_log con indice por tenant y fecha.</t>
        </is>
      </c>
      <c r="L103" s="4" t="inlineStr">
        <is>
          <t>Verificado en runtime: las operaciones dejan actor, fecha, recurso y resultado.</t>
        </is>
      </c>
      <c r="M103" s="4" t="inlineStr">
        <is>
          <t>Ninguna: el control esta implementado y verificado.</t>
        </is>
      </c>
      <c r="N103" s="21" t="inlineStr"/>
      <c r="O103" s="22" t="n"/>
      <c r="P103" s="21" t="n"/>
    </row>
    <row r="104">
      <c r="A104" s="8" t="inlineStr">
        <is>
          <t>svc-preparation</t>
        </is>
      </c>
      <c r="B104" s="8" t="inlineStr">
        <is>
          <t>microservicio</t>
        </is>
      </c>
      <c r="C104" s="8" t="inlineStr">
        <is>
          <t>SEC-019</t>
        </is>
      </c>
      <c r="D104" s="4" t="inlineStr">
        <is>
          <t>Auditoría de operaciones sensibles</t>
        </is>
      </c>
      <c r="E104" s="4" t="inlineStr">
        <is>
          <t>Errores, logs y auditoría</t>
        </is>
      </c>
      <c r="F104" s="8" t="inlineStr">
        <is>
          <t>DEBE</t>
        </is>
      </c>
      <c r="G104" s="8" t="inlineStr">
        <is>
          <t>Estático</t>
        </is>
      </c>
      <c r="H104" s="12" t="inlineStr">
        <is>
          <t>CUMPLE</t>
        </is>
      </c>
      <c r="I104" s="8" t="inlineStr"/>
      <c r="J104" s="20">
        <f>IFERROR(IF(ISNUMBER(VLOOKUP(H104,Referencia!$A$5:$C$10,3,FALSE)),VLOOKUP(H104,Referencia!$A$5:$C$10,3,FALSE),""),"")</f>
        <v/>
      </c>
      <c r="K104" s="4" t="inlineStr">
        <is>
          <t>src/main/java/pe/edu/vallegrande/fideinexus/requests/application/usecase/ServiceManagementService.java:126 — auditar(...) registra cada operacion sensible (CREATE, UPDATE, STATUS, DELETE) en la tabla audit_log con tenant, actor (correo del token), accion, entidad, id del recurso, resultado y fecha.
src/main/resources/sql/schema.sql:1 — Tabla audit_log con indice por tenant y fecha.</t>
        </is>
      </c>
      <c r="L104" s="4" t="inlineStr">
        <is>
          <t>Verificado en runtime: las operaciones dejan actor, fecha, recurso y resultado.</t>
        </is>
      </c>
      <c r="M104" s="4" t="inlineStr">
        <is>
          <t>Ninguna: el control esta implementado y verificado.</t>
        </is>
      </c>
      <c r="N104" s="21" t="inlineStr"/>
      <c r="O104" s="22" t="n"/>
      <c r="P104" s="21" t="n"/>
    </row>
    <row r="105">
      <c r="A105" s="8" t="inlineStr">
        <is>
          <t>svc-requests</t>
        </is>
      </c>
      <c r="B105" s="8" t="inlineStr">
        <is>
          <t>microservicio</t>
        </is>
      </c>
      <c r="C105" s="8" t="inlineStr">
        <is>
          <t>SEC-019</t>
        </is>
      </c>
      <c r="D105" s="4" t="inlineStr">
        <is>
          <t>Auditoría de operaciones sensibles</t>
        </is>
      </c>
      <c r="E105" s="4" t="inlineStr">
        <is>
          <t>Errores, logs y auditoría</t>
        </is>
      </c>
      <c r="F105" s="8" t="inlineStr">
        <is>
          <t>DEBE</t>
        </is>
      </c>
      <c r="G105" s="8" t="inlineStr">
        <is>
          <t>Estático</t>
        </is>
      </c>
      <c r="H105" s="12" t="inlineStr">
        <is>
          <t>CUMPLE</t>
        </is>
      </c>
      <c r="I105" s="8" t="inlineStr"/>
      <c r="J105" s="20">
        <f>IFERROR(IF(ISNUMBER(VLOOKUP(H105,Referencia!$A$5:$C$10,3,FALSE)),VLOOKUP(H105,Referencia!$A$5:$C$10,3,FALSE),""),"")</f>
        <v/>
      </c>
      <c r="K105" s="4" t="inlineStr">
        <is>
          <t>src/main/java/pe/edu/vallegrande/fideinexus/requests/application/usecase/ServiceManagementService.java:126 — auditar(...) registra cada operacion sensible (CREATE, UPDATE, STATUS, DELETE) en la tabla audit_log con tenant, actor (correo del token), accion, entidad, id del recurso, resultado y fecha.
src/main/resources/sql/schema.sql:1 — Tabla audit_log con indice por tenant y fecha.</t>
        </is>
      </c>
      <c r="L105" s="4" t="inlineStr">
        <is>
          <t>Verificado en runtime: las operaciones dejan actor, fecha, recurso y resultado.</t>
        </is>
      </c>
      <c r="M105" s="4" t="inlineStr">
        <is>
          <t>Ninguna: el control esta implementado y verificado.</t>
        </is>
      </c>
      <c r="N105" s="21" t="inlineStr"/>
      <c r="O105" s="22" t="n"/>
      <c r="P105" s="21" t="n"/>
    </row>
    <row r="106">
      <c r="A106" s="8" t="inlineStr">
        <is>
          <t>gateway</t>
        </is>
      </c>
      <c r="B106" s="8" t="inlineStr">
        <is>
          <t>gateway</t>
        </is>
      </c>
      <c r="C106" s="8" t="inlineStr">
        <is>
          <t>SEC-020</t>
        </is>
      </c>
      <c r="D106" s="4" t="inlineStr">
        <is>
          <t>Control de pertenencia sobre recursos</t>
        </is>
      </c>
      <c r="E106" s="4" t="inlineStr">
        <is>
          <t>Integridad transversal</t>
        </is>
      </c>
      <c r="F106" s="8" t="inlineStr">
        <is>
          <t>DEBE</t>
        </is>
      </c>
      <c r="G106" s="8" t="inlineStr">
        <is>
          <t>Mixto</t>
        </is>
      </c>
      <c r="H106" s="12" t="inlineStr">
        <is>
          <t>CUMPLE</t>
        </is>
      </c>
      <c r="I106" s="8" t="inlineStr"/>
      <c r="J106" s="20">
        <f>IFERROR(IF(ISNUMBER(VLOOKUP(H106,Referencia!$A$5:$C$10,3,FALSE)),VLOOKUP(H106,Referencia!$A$5:$C$10,3,FALSE),""),"")</f>
        <v/>
      </c>
      <c r="K106" s="4" t="inlineStr">
        <is>
          <t>src/main/java/:0 — El gateway no expone recursos de negocio: enruta.</t>
        </is>
      </c>
      <c r="L106" s="4" t="inlineStr">
        <is>
          <t>n/a en el gateway.</t>
        </is>
      </c>
      <c r="M106" s="4" t="inlineStr"/>
      <c r="N106" s="21" t="inlineStr"/>
      <c r="O106" s="22" t="n"/>
      <c r="P106" s="21" t="n"/>
    </row>
    <row r="107">
      <c r="A107" s="8" t="inlineStr">
        <is>
          <t>svc-celebration</t>
        </is>
      </c>
      <c r="B107" s="8" t="inlineStr">
        <is>
          <t>microservicio</t>
        </is>
      </c>
      <c r="C107" s="8" t="inlineStr">
        <is>
          <t>SEC-020</t>
        </is>
      </c>
      <c r="D107" s="4" t="inlineStr">
        <is>
          <t>Control de pertenencia sobre recursos</t>
        </is>
      </c>
      <c r="E107" s="4" t="inlineStr">
        <is>
          <t>Integridad transversal</t>
        </is>
      </c>
      <c r="F107" s="8" t="inlineStr">
        <is>
          <t>DEBE</t>
        </is>
      </c>
      <c r="G107" s="8" t="inlineStr">
        <is>
          <t>Mixto</t>
        </is>
      </c>
      <c r="H107" s="12" t="inlineStr">
        <is>
          <t>CUMPLE</t>
        </is>
      </c>
      <c r="I107" s="8" t="inlineStr"/>
      <c r="J107" s="20">
        <f>IFERROR(IF(ISNUMBER(VLOOKUP(H107,Referencia!$A$5:$C$10,3,FALSE)),VLOOKUP(H107,Referencia!$A$5:$C$10,3,FALSE),""),"")</f>
        <v/>
      </c>
      <c r="K107" s="4" t="inlineStr">
        <is>
          <t>src/main/java/pe/edu/vallegrande/fideinexus/celebration/infrastructure/adapter/in/rest/controller/ServiceRest.java:96 — findById valida ensureSameTenant antes de devolver el recurso</t>
        </is>
      </c>
      <c r="L107" s="4" t="inlineStr">
        <is>
          <t>No hay IDOR entre parroquias.</t>
        </is>
      </c>
      <c r="M107" s="4" t="inlineStr"/>
      <c r="N107" s="21" t="inlineStr"/>
      <c r="O107" s="22" t="n"/>
      <c r="P107" s="21" t="n"/>
    </row>
    <row r="108">
      <c r="A108" s="8" t="inlineStr">
        <is>
          <t>svc-certificate</t>
        </is>
      </c>
      <c r="B108" s="8" t="inlineStr">
        <is>
          <t>microservicio</t>
        </is>
      </c>
      <c r="C108" s="8" t="inlineStr">
        <is>
          <t>SEC-020</t>
        </is>
      </c>
      <c r="D108" s="4" t="inlineStr">
        <is>
          <t>Control de pertenencia sobre recursos</t>
        </is>
      </c>
      <c r="E108" s="4" t="inlineStr">
        <is>
          <t>Integridad transversal</t>
        </is>
      </c>
      <c r="F108" s="8" t="inlineStr">
        <is>
          <t>DEBE</t>
        </is>
      </c>
      <c r="G108" s="8" t="inlineStr">
        <is>
          <t>Mixto</t>
        </is>
      </c>
      <c r="H108" s="12" t="inlineStr">
        <is>
          <t>CUMPLE</t>
        </is>
      </c>
      <c r="I108" s="8" t="inlineStr"/>
      <c r="J108" s="20">
        <f>IFERROR(IF(ISNUMBER(VLOOKUP(H108,Referencia!$A$5:$C$10,3,FALSE)),VLOOKUP(H108,Referencia!$A$5:$C$10,3,FALSE),""),"")</f>
        <v/>
      </c>
      <c r="K108" s="4" t="inlineStr">
        <is>
          <t>src/main/java/pe/edu/vallegrande/fideinexus/certificate/infrastructure/adapter/in/rest/controller/ServiceRest.java:96 — findById valida ensureSameTenant antes de devolver el recurso</t>
        </is>
      </c>
      <c r="L108" s="4" t="inlineStr">
        <is>
          <t>No hay IDOR entre parroquias.</t>
        </is>
      </c>
      <c r="M108" s="4" t="inlineStr"/>
      <c r="N108" s="21" t="inlineStr"/>
      <c r="O108" s="22" t="n"/>
      <c r="P108" s="21" t="n"/>
    </row>
    <row r="109">
      <c r="A109" s="8" t="inlineStr">
        <is>
          <t>svc-preparation</t>
        </is>
      </c>
      <c r="B109" s="8" t="inlineStr">
        <is>
          <t>microservicio</t>
        </is>
      </c>
      <c r="C109" s="8" t="inlineStr">
        <is>
          <t>SEC-020</t>
        </is>
      </c>
      <c r="D109" s="4" t="inlineStr">
        <is>
          <t>Control de pertenencia sobre recursos</t>
        </is>
      </c>
      <c r="E109" s="4" t="inlineStr">
        <is>
          <t>Integridad transversal</t>
        </is>
      </c>
      <c r="F109" s="8" t="inlineStr">
        <is>
          <t>DEBE</t>
        </is>
      </c>
      <c r="G109" s="8" t="inlineStr">
        <is>
          <t>Mixto</t>
        </is>
      </c>
      <c r="H109" s="12" t="inlineStr">
        <is>
          <t>CUMPLE</t>
        </is>
      </c>
      <c r="I109" s="8" t="inlineStr"/>
      <c r="J109" s="20">
        <f>IFERROR(IF(ISNUMBER(VLOOKUP(H109,Referencia!$A$5:$C$10,3,FALSE)),VLOOKUP(H109,Referencia!$A$5:$C$10,3,FALSE),""),"")</f>
        <v/>
      </c>
      <c r="K109" s="4" t="inlineStr">
        <is>
          <t>src/main/java/pe/edu/vallegrande/fideinexus/preparation/infrastructure/adapter/in/rest/controller/ServiceRest.java:96 — findById valida ensureSameTenant antes de devolver el recurso</t>
        </is>
      </c>
      <c r="L109" s="4" t="inlineStr">
        <is>
          <t>No hay IDOR entre parroquias.</t>
        </is>
      </c>
      <c r="M109" s="4" t="inlineStr"/>
      <c r="N109" s="21" t="inlineStr"/>
      <c r="O109" s="22" t="n"/>
      <c r="P109" s="21" t="n"/>
    </row>
    <row r="110">
      <c r="A110" s="8" t="inlineStr">
        <is>
          <t>svc-requests</t>
        </is>
      </c>
      <c r="B110" s="8" t="inlineStr">
        <is>
          <t>microservicio</t>
        </is>
      </c>
      <c r="C110" s="8" t="inlineStr">
        <is>
          <t>SEC-020</t>
        </is>
      </c>
      <c r="D110" s="4" t="inlineStr">
        <is>
          <t>Control de pertenencia sobre recursos</t>
        </is>
      </c>
      <c r="E110" s="4" t="inlineStr">
        <is>
          <t>Integridad transversal</t>
        </is>
      </c>
      <c r="F110" s="8" t="inlineStr">
        <is>
          <t>DEBE</t>
        </is>
      </c>
      <c r="G110" s="8" t="inlineStr">
        <is>
          <t>Mixto</t>
        </is>
      </c>
      <c r="H110" s="12" t="inlineStr">
        <is>
          <t>CUMPLE</t>
        </is>
      </c>
      <c r="I110" s="8" t="inlineStr"/>
      <c r="J110" s="20">
        <f>IFERROR(IF(ISNUMBER(VLOOKUP(H110,Referencia!$A$5:$C$10,3,FALSE)),VLOOKUP(H110,Referencia!$A$5:$C$10,3,FALSE),""),"")</f>
        <v/>
      </c>
      <c r="K110" s="4" t="inlineStr">
        <is>
          <t>src/main/java/pe/edu/vallegrande/fideinexus/requests/infrastructure/adapter/in/rest/controller/ServiceRest.java:96 — findById valida ensureSameTenant antes de devolver el recurso</t>
        </is>
      </c>
      <c r="L110" s="4" t="inlineStr">
        <is>
          <t>No hay IDOR entre parroquias.</t>
        </is>
      </c>
      <c r="M110" s="4" t="inlineStr"/>
      <c r="N110" s="21" t="inlineStr"/>
      <c r="O110" s="22" t="n"/>
      <c r="P110" s="21" t="n"/>
    </row>
    <row r="111">
      <c r="A111" s="8" t="inlineStr">
        <is>
          <t>gateway</t>
        </is>
      </c>
      <c r="B111" s="8" t="inlineStr">
        <is>
          <t>gateway</t>
        </is>
      </c>
      <c r="C111" s="8" t="inlineStr">
        <is>
          <t>SEC-021</t>
        </is>
      </c>
      <c r="D111" s="4" t="inlineStr">
        <is>
          <t>Integridad de contexto</t>
        </is>
      </c>
      <c r="E111" s="4" t="inlineStr">
        <is>
          <t>Integridad transversal</t>
        </is>
      </c>
      <c r="F111" s="8" t="inlineStr">
        <is>
          <t>DEBE</t>
        </is>
      </c>
      <c r="G111" s="8" t="inlineStr">
        <is>
          <t>Estático</t>
        </is>
      </c>
      <c r="H111" s="12" t="inlineStr">
        <is>
          <t>CUMPLE</t>
        </is>
      </c>
      <c r="I111" s="8" t="inlineStr"/>
      <c r="J111" s="20">
        <f>IFERROR(IF(ISNUMBER(VLOOKUP(H111,Referencia!$A$5:$C$10,3,FALSE)),VLOOKUP(H111,Referencia!$A$5:$C$10,3,FALSE),""),"")</f>
        <v/>
      </c>
      <c r="K111" s="4" t="inlineStr">
        <is>
          <t>src/main/java/:0 — El gateway no mezcla contextos.</t>
        </is>
      </c>
      <c r="L111" s="4" t="inlineStr">
        <is>
          <t>n/a en el gateway.</t>
        </is>
      </c>
      <c r="M111" s="4" t="inlineStr"/>
      <c r="N111" s="21" t="inlineStr"/>
      <c r="O111" s="22" t="n"/>
      <c r="P111" s="21" t="n"/>
    </row>
    <row r="112">
      <c r="A112" s="8" t="inlineStr">
        <is>
          <t>svc-celebration</t>
        </is>
      </c>
      <c r="B112" s="8" t="inlineStr">
        <is>
          <t>microservicio</t>
        </is>
      </c>
      <c r="C112" s="8" t="inlineStr">
        <is>
          <t>SEC-021</t>
        </is>
      </c>
      <c r="D112" s="4" t="inlineStr">
        <is>
          <t>Integridad de contexto</t>
        </is>
      </c>
      <c r="E112" s="4" t="inlineStr">
        <is>
          <t>Integridad transversal</t>
        </is>
      </c>
      <c r="F112" s="8" t="inlineStr">
        <is>
          <t>DEBE</t>
        </is>
      </c>
      <c r="G112" s="8" t="inlineStr">
        <is>
          <t>Estático</t>
        </is>
      </c>
      <c r="H112" s="12" t="inlineStr">
        <is>
          <t>CUMPLE</t>
        </is>
      </c>
      <c r="I112" s="8" t="inlineStr"/>
      <c r="J112" s="20">
        <f>IFERROR(IF(ISNUMBER(VLOOKUP(H112,Referencia!$A$5:$C$10,3,FALSE)),VLOOKUP(H112,Referencia!$A$5:$C$10,3,FALSE),""),"")</f>
        <v/>
      </c>
      <c r="K112" s="4" t="inlineStr">
        <is>
          <t>src/main/java/pe/edu/vallegrande/fideinexus/celebration/infrastructure/adapter/out/persistence/r2dbc/repository/ServiceParticipantRepository.java:10 — Los participantes se resuelven siempre por service_id dentro del mismo tenant</t>
        </is>
      </c>
      <c r="L112" s="4" t="inlineStr">
        <is>
          <t>No se mezclan registros de parroquias distintas.</t>
        </is>
      </c>
      <c r="M112" s="4" t="inlineStr"/>
      <c r="N112" s="21" t="inlineStr"/>
      <c r="O112" s="22" t="n"/>
      <c r="P112" s="21" t="n"/>
    </row>
    <row r="113">
      <c r="A113" s="8" t="inlineStr">
        <is>
          <t>svc-certificate</t>
        </is>
      </c>
      <c r="B113" s="8" t="inlineStr">
        <is>
          <t>microservicio</t>
        </is>
      </c>
      <c r="C113" s="8" t="inlineStr">
        <is>
          <t>SEC-021</t>
        </is>
      </c>
      <c r="D113" s="4" t="inlineStr">
        <is>
          <t>Integridad de contexto</t>
        </is>
      </c>
      <c r="E113" s="4" t="inlineStr">
        <is>
          <t>Integridad transversal</t>
        </is>
      </c>
      <c r="F113" s="8" t="inlineStr">
        <is>
          <t>DEBE</t>
        </is>
      </c>
      <c r="G113" s="8" t="inlineStr">
        <is>
          <t>Estático</t>
        </is>
      </c>
      <c r="H113" s="12" t="inlineStr">
        <is>
          <t>CUMPLE</t>
        </is>
      </c>
      <c r="I113" s="8" t="inlineStr"/>
      <c r="J113" s="20">
        <f>IFERROR(IF(ISNUMBER(VLOOKUP(H113,Referencia!$A$5:$C$10,3,FALSE)),VLOOKUP(H113,Referencia!$A$5:$C$10,3,FALSE),""),"")</f>
        <v/>
      </c>
      <c r="K113" s="4" t="inlineStr">
        <is>
          <t>src/main/java/pe/edu/vallegrande/fideinexus/certificate/infrastructure/adapter/out/persistence/r2dbc/repository/ServiceParticipantRepository.java:10 — Los participantes se resuelven siempre por service_id dentro del mismo tenant</t>
        </is>
      </c>
      <c r="L113" s="4" t="inlineStr">
        <is>
          <t>No se mezclan registros de parroquias distintas.</t>
        </is>
      </c>
      <c r="M113" s="4" t="inlineStr"/>
      <c r="N113" s="21" t="inlineStr"/>
      <c r="O113" s="22" t="n"/>
      <c r="P113" s="21" t="n"/>
    </row>
    <row r="114">
      <c r="A114" s="8" t="inlineStr">
        <is>
          <t>svc-preparation</t>
        </is>
      </c>
      <c r="B114" s="8" t="inlineStr">
        <is>
          <t>microservicio</t>
        </is>
      </c>
      <c r="C114" s="8" t="inlineStr">
        <is>
          <t>SEC-021</t>
        </is>
      </c>
      <c r="D114" s="4" t="inlineStr">
        <is>
          <t>Integridad de contexto</t>
        </is>
      </c>
      <c r="E114" s="4" t="inlineStr">
        <is>
          <t>Integridad transversal</t>
        </is>
      </c>
      <c r="F114" s="8" t="inlineStr">
        <is>
          <t>DEBE</t>
        </is>
      </c>
      <c r="G114" s="8" t="inlineStr">
        <is>
          <t>Estático</t>
        </is>
      </c>
      <c r="H114" s="12" t="inlineStr">
        <is>
          <t>CUMPLE</t>
        </is>
      </c>
      <c r="I114" s="8" t="inlineStr"/>
      <c r="J114" s="20">
        <f>IFERROR(IF(ISNUMBER(VLOOKUP(H114,Referencia!$A$5:$C$10,3,FALSE)),VLOOKUP(H114,Referencia!$A$5:$C$10,3,FALSE),""),"")</f>
        <v/>
      </c>
      <c r="K114" s="4" t="inlineStr">
        <is>
          <t>src/main/java/pe/edu/vallegrande/fideinexus/preparation/infrastructure/adapter/out/persistence/r2dbc/repository/ServiceParticipantRepository.java:10 — Los participantes se resuelven siempre por service_id dentro del mismo tenant</t>
        </is>
      </c>
      <c r="L114" s="4" t="inlineStr">
        <is>
          <t>No se mezclan registros de parroquias distintas.</t>
        </is>
      </c>
      <c r="M114" s="4" t="inlineStr"/>
      <c r="N114" s="21" t="inlineStr"/>
      <c r="O114" s="22" t="n"/>
      <c r="P114" s="21" t="n"/>
    </row>
    <row r="115">
      <c r="A115" s="8" t="inlineStr">
        <is>
          <t>svc-requests</t>
        </is>
      </c>
      <c r="B115" s="8" t="inlineStr">
        <is>
          <t>microservicio</t>
        </is>
      </c>
      <c r="C115" s="8" t="inlineStr">
        <is>
          <t>SEC-021</t>
        </is>
      </c>
      <c r="D115" s="4" t="inlineStr">
        <is>
          <t>Integridad de contexto</t>
        </is>
      </c>
      <c r="E115" s="4" t="inlineStr">
        <is>
          <t>Integridad transversal</t>
        </is>
      </c>
      <c r="F115" s="8" t="inlineStr">
        <is>
          <t>DEBE</t>
        </is>
      </c>
      <c r="G115" s="8" t="inlineStr">
        <is>
          <t>Estático</t>
        </is>
      </c>
      <c r="H115" s="12" t="inlineStr">
        <is>
          <t>CUMPLE</t>
        </is>
      </c>
      <c r="I115" s="8" t="inlineStr"/>
      <c r="J115" s="20">
        <f>IFERROR(IF(ISNUMBER(VLOOKUP(H115,Referencia!$A$5:$C$10,3,FALSE)),VLOOKUP(H115,Referencia!$A$5:$C$10,3,FALSE),""),"")</f>
        <v/>
      </c>
      <c r="K115" s="4" t="inlineStr">
        <is>
          <t>src/main/java/pe/edu/vallegrande/fideinexus/requests/infrastructure/adapter/out/persistence/r2dbc/repository/ServiceParticipantRepository.java:10 — Los participantes se resuelven siempre por service_id dentro del mismo tenant</t>
        </is>
      </c>
      <c r="L115" s="4" t="inlineStr">
        <is>
          <t>No se mezclan registros de parroquias distintas.</t>
        </is>
      </c>
      <c r="M115" s="4" t="inlineStr"/>
      <c r="N115" s="21" t="inlineStr"/>
      <c r="O115" s="22" t="n"/>
      <c r="P115" s="21" t="n"/>
    </row>
    <row r="116">
      <c r="A116" s="8" t="inlineStr">
        <is>
          <t>web-fideinexus</t>
        </is>
      </c>
      <c r="B116" s="8" t="inlineStr">
        <is>
          <t>frontend</t>
        </is>
      </c>
      <c r="C116" s="8" t="inlineStr">
        <is>
          <t>SEC-021</t>
        </is>
      </c>
      <c r="D116" s="4" t="inlineStr">
        <is>
          <t>Integridad de contexto</t>
        </is>
      </c>
      <c r="E116" s="4" t="inlineStr">
        <is>
          <t>Integridad transversal</t>
        </is>
      </c>
      <c r="F116" s="8" t="inlineStr">
        <is>
          <t>DEBE</t>
        </is>
      </c>
      <c r="G116" s="8" t="inlineStr">
        <is>
          <t>Estático</t>
        </is>
      </c>
      <c r="H116" s="12" t="inlineStr">
        <is>
          <t>CUMPLE</t>
        </is>
      </c>
      <c r="I116" s="8" t="inlineStr"/>
      <c r="J116" s="20">
        <f>IFERROR(IF(ISNUMBER(VLOOKUP(H116,Referencia!$A$5:$C$10,3,FALSE)),VLOOKUP(H116,Referencia!$A$5:$C$10,3,FALSE),""),"")</f>
        <v/>
      </c>
      <c r="K116" s="4" t="inlineStr">
        <is>
          <t>src/app/features/(tenant)/solicitudes/:0 — El modulo trabaja siempre con un unico tenant (el del token) y no mezcla datos de parroquias.</t>
        </is>
      </c>
      <c r="L116" s="4" t="inlineStr">
        <is>
          <t>Sin mezcla de contextos.</t>
        </is>
      </c>
      <c r="M116" s="4" t="inlineStr"/>
      <c r="N116" s="21" t="inlineStr"/>
      <c r="O116" s="22" t="n"/>
      <c r="P116" s="21" t="n"/>
    </row>
    <row r="117">
      <c r="A117" s="8" t="inlineStr">
        <is>
          <t>gateway</t>
        </is>
      </c>
      <c r="B117" s="8" t="inlineStr">
        <is>
          <t>gateway</t>
        </is>
      </c>
      <c r="C117" s="8" t="inlineStr">
        <is>
          <t>SEC-006</t>
        </is>
      </c>
      <c r="D117" s="4" t="inlineStr">
        <is>
          <t>Roles de negocio consistentes</t>
        </is>
      </c>
      <c r="E117" s="4" t="inlineStr">
        <is>
          <t>Autorización y roles</t>
        </is>
      </c>
      <c r="F117" s="8" t="inlineStr">
        <is>
          <t>DEBERÍA</t>
        </is>
      </c>
      <c r="G117" s="8" t="inlineStr">
        <is>
          <t>Estático</t>
        </is>
      </c>
      <c r="H117" s="12" t="inlineStr">
        <is>
          <t>CUMPLE</t>
        </is>
      </c>
      <c r="I117" s="8" t="inlineStr"/>
      <c r="J117" s="20">
        <f>IFERROR(IF(ISNUMBER(VLOOKUP(H117,Referencia!$A$5:$C$10,3,FALSE)),VLOOKUP(H117,Referencia!$A$5:$C$10,3,FALSE),""),"")</f>
        <v/>
      </c>
      <c r="K117" s="4" t="inlineStr">
        <is>
          <t>src/main/resources/application-dev.yml:0 — Los roles propagados son los del realm de Keycloak.</t>
        </is>
      </c>
      <c r="L117" s="4" t="inlineStr">
        <is>
          <t>Roles consistentes.</t>
        </is>
      </c>
      <c r="M117" s="4" t="inlineStr"/>
      <c r="N117" s="21" t="inlineStr"/>
      <c r="O117" s="22" t="n"/>
      <c r="P117" s="21" t="n"/>
    </row>
    <row r="118">
      <c r="A118" s="8" t="inlineStr">
        <is>
          <t>svc-celebration</t>
        </is>
      </c>
      <c r="B118" s="8" t="inlineStr">
        <is>
          <t>microservicio</t>
        </is>
      </c>
      <c r="C118" s="8" t="inlineStr">
        <is>
          <t>SEC-006</t>
        </is>
      </c>
      <c r="D118" s="4" t="inlineStr">
        <is>
          <t>Roles de negocio consistentes</t>
        </is>
      </c>
      <c r="E118" s="4" t="inlineStr">
        <is>
          <t>Autorización y roles</t>
        </is>
      </c>
      <c r="F118" s="8" t="inlineStr">
        <is>
          <t>DEBERÍA</t>
        </is>
      </c>
      <c r="G118" s="8" t="inlineStr">
        <is>
          <t>Estático</t>
        </is>
      </c>
      <c r="H118" s="12" t="inlineStr">
        <is>
          <t>CUMPLE</t>
        </is>
      </c>
      <c r="I118" s="8" t="inlineStr"/>
      <c r="J118" s="20">
        <f>IFERROR(IF(ISNUMBER(VLOOKUP(H118,Referencia!$A$5:$C$10,3,FALSE)),VLOOKUP(H118,Referencia!$A$5:$C$10,3,FALSE),""),"")</f>
        <v/>
      </c>
      <c r="K118" s="4" t="inlineStr">
        <is>
          <t>src/main/java/pe/edu/vallegrande/fideinexus/celebration/infrastructure/adapter/in/rest/controller/ServiceRest.java:77 — hasAnyRole('SECRETARIO','PARROCO','SUPERADMIN'): los roles del realm de Keycloak</t>
        </is>
      </c>
      <c r="L118" s="4" t="inlineStr">
        <is>
          <t>Los nombres de rol coinciden entre Keycloak y el codigo.</t>
        </is>
      </c>
      <c r="M118" s="4" t="inlineStr"/>
      <c r="N118" s="21" t="inlineStr"/>
      <c r="O118" s="22" t="n"/>
      <c r="P118" s="21" t="n"/>
    </row>
    <row r="119">
      <c r="A119" s="8" t="inlineStr">
        <is>
          <t>svc-certificate</t>
        </is>
      </c>
      <c r="B119" s="8" t="inlineStr">
        <is>
          <t>microservicio</t>
        </is>
      </c>
      <c r="C119" s="8" t="inlineStr">
        <is>
          <t>SEC-006</t>
        </is>
      </c>
      <c r="D119" s="4" t="inlineStr">
        <is>
          <t>Roles de negocio consistentes</t>
        </is>
      </c>
      <c r="E119" s="4" t="inlineStr">
        <is>
          <t>Autorización y roles</t>
        </is>
      </c>
      <c r="F119" s="8" t="inlineStr">
        <is>
          <t>DEBERÍA</t>
        </is>
      </c>
      <c r="G119" s="8" t="inlineStr">
        <is>
          <t>Estático</t>
        </is>
      </c>
      <c r="H119" s="12" t="inlineStr">
        <is>
          <t>CUMPLE</t>
        </is>
      </c>
      <c r="I119" s="8" t="inlineStr"/>
      <c r="J119" s="20">
        <f>IFERROR(IF(ISNUMBER(VLOOKUP(H119,Referencia!$A$5:$C$10,3,FALSE)),VLOOKUP(H119,Referencia!$A$5:$C$10,3,FALSE),""),"")</f>
        <v/>
      </c>
      <c r="K119" s="4" t="inlineStr">
        <is>
          <t>src/main/java/pe/edu/vallegrande/fideinexus/certificate/infrastructure/adapter/in/rest/controller/ServiceRest.java:77 — hasAnyRole('SECRETARIO','PARROCO','SUPERADMIN'): los roles del realm de Keycloak</t>
        </is>
      </c>
      <c r="L119" s="4" t="inlineStr">
        <is>
          <t>Los nombres de rol coinciden entre Keycloak y el codigo.</t>
        </is>
      </c>
      <c r="M119" s="4" t="inlineStr"/>
      <c r="N119" s="21" t="inlineStr"/>
      <c r="O119" s="22" t="n"/>
      <c r="P119" s="21" t="n"/>
    </row>
    <row r="120">
      <c r="A120" s="8" t="inlineStr">
        <is>
          <t>svc-preparation</t>
        </is>
      </c>
      <c r="B120" s="8" t="inlineStr">
        <is>
          <t>microservicio</t>
        </is>
      </c>
      <c r="C120" s="8" t="inlineStr">
        <is>
          <t>SEC-006</t>
        </is>
      </c>
      <c r="D120" s="4" t="inlineStr">
        <is>
          <t>Roles de negocio consistentes</t>
        </is>
      </c>
      <c r="E120" s="4" t="inlineStr">
        <is>
          <t>Autorización y roles</t>
        </is>
      </c>
      <c r="F120" s="8" t="inlineStr">
        <is>
          <t>DEBERÍA</t>
        </is>
      </c>
      <c r="G120" s="8" t="inlineStr">
        <is>
          <t>Estático</t>
        </is>
      </c>
      <c r="H120" s="12" t="inlineStr">
        <is>
          <t>CUMPLE</t>
        </is>
      </c>
      <c r="I120" s="8" t="inlineStr"/>
      <c r="J120" s="20">
        <f>IFERROR(IF(ISNUMBER(VLOOKUP(H120,Referencia!$A$5:$C$10,3,FALSE)),VLOOKUP(H120,Referencia!$A$5:$C$10,3,FALSE),""),"")</f>
        <v/>
      </c>
      <c r="K120" s="4" t="inlineStr">
        <is>
          <t>src/main/java/pe/edu/vallegrande/fideinexus/preparation/infrastructure/adapter/in/rest/controller/ServiceRest.java:77 — hasAnyRole('SECRETARIO','PARROCO','SUPERADMIN'): los roles del realm de Keycloak</t>
        </is>
      </c>
      <c r="L120" s="4" t="inlineStr">
        <is>
          <t>Los nombres de rol coinciden entre Keycloak y el codigo.</t>
        </is>
      </c>
      <c r="M120" s="4" t="inlineStr"/>
      <c r="N120" s="21" t="inlineStr"/>
      <c r="O120" s="22" t="n"/>
      <c r="P120" s="21" t="n"/>
    </row>
    <row r="121">
      <c r="A121" s="8" t="inlineStr">
        <is>
          <t>svc-requests</t>
        </is>
      </c>
      <c r="B121" s="8" t="inlineStr">
        <is>
          <t>microservicio</t>
        </is>
      </c>
      <c r="C121" s="8" t="inlineStr">
        <is>
          <t>SEC-006</t>
        </is>
      </c>
      <c r="D121" s="4" t="inlineStr">
        <is>
          <t>Roles de negocio consistentes</t>
        </is>
      </c>
      <c r="E121" s="4" t="inlineStr">
        <is>
          <t>Autorización y roles</t>
        </is>
      </c>
      <c r="F121" s="8" t="inlineStr">
        <is>
          <t>DEBERÍA</t>
        </is>
      </c>
      <c r="G121" s="8" t="inlineStr">
        <is>
          <t>Estático</t>
        </is>
      </c>
      <c r="H121" s="12" t="inlineStr">
        <is>
          <t>CUMPLE</t>
        </is>
      </c>
      <c r="I121" s="8" t="inlineStr"/>
      <c r="J121" s="20">
        <f>IFERROR(IF(ISNUMBER(VLOOKUP(H121,Referencia!$A$5:$C$10,3,FALSE)),VLOOKUP(H121,Referencia!$A$5:$C$10,3,FALSE),""),"")</f>
        <v/>
      </c>
      <c r="K121" s="4" t="inlineStr">
        <is>
          <t>src/main/java/pe/edu/vallegrande/fideinexus/requests/infrastructure/adapter/in/rest/controller/ServiceRest.java:77 — hasAnyRole('SECRETARIO','PARROCO','SUPERADMIN'): los roles del realm de Keycloak</t>
        </is>
      </c>
      <c r="L121" s="4" t="inlineStr">
        <is>
          <t>Los nombres de rol coinciden entre Keycloak y el codigo.</t>
        </is>
      </c>
      <c r="M121" s="4" t="inlineStr"/>
      <c r="N121" s="21" t="inlineStr"/>
      <c r="O121" s="22" t="n"/>
      <c r="P121" s="21" t="n"/>
    </row>
    <row r="122">
      <c r="A122" s="8" t="inlineStr">
        <is>
          <t>web-fideinexus</t>
        </is>
      </c>
      <c r="B122" s="8" t="inlineStr">
        <is>
          <t>frontend</t>
        </is>
      </c>
      <c r="C122" s="8" t="inlineStr">
        <is>
          <t>SEC-006</t>
        </is>
      </c>
      <c r="D122" s="4" t="inlineStr">
        <is>
          <t>Roles de negocio consistentes</t>
        </is>
      </c>
      <c r="E122" s="4" t="inlineStr">
        <is>
          <t>Autorización y roles</t>
        </is>
      </c>
      <c r="F122" s="8" t="inlineStr">
        <is>
          <t>DEBERÍA</t>
        </is>
      </c>
      <c r="G122" s="8" t="inlineStr">
        <is>
          <t>Estático</t>
        </is>
      </c>
      <c r="H122" s="12" t="inlineStr">
        <is>
          <t>CUMPLE</t>
        </is>
      </c>
      <c r="I122" s="8" t="inlineStr"/>
      <c r="J122" s="20">
        <f>IFERROR(IF(ISNUMBER(VLOOKUP(H122,Referencia!$A$5:$C$10,3,FALSE)),VLOOKUP(H122,Referencia!$A$5:$C$10,3,FALSE),""),"")</f>
        <v/>
      </c>
      <c r="K122" s="4" t="inlineStr">
        <is>
          <t>src/app/core/services/auth.service.ts:127 — Los roles leidos del token son PARROCO, SECRETARIO, SUPERADMIN, ADMIN y FELIGRES: los mismos del realm de Keycloak.</t>
        </is>
      </c>
      <c r="L122" s="4" t="inlineStr">
        <is>
          <t>Roles consistentes con Keycloak.</t>
        </is>
      </c>
      <c r="M122" s="4" t="inlineStr"/>
      <c r="N122" s="21" t="inlineStr"/>
      <c r="O122" s="22" t="n"/>
      <c r="P122" s="21" t="n"/>
    </row>
    <row r="123">
      <c r="A123" s="8" t="inlineStr">
        <is>
          <t>gateway</t>
        </is>
      </c>
      <c r="B123" s="8" t="inlineStr">
        <is>
          <t>gateway</t>
        </is>
      </c>
      <c r="C123" s="8" t="inlineStr">
        <is>
          <t>SEC-012</t>
        </is>
      </c>
      <c r="D123" s="4" t="inlineStr">
        <is>
          <t>Gateway como único punto de entrada público</t>
        </is>
      </c>
      <c r="E123" s="4" t="inlineStr">
        <is>
          <t>Seguridad entre microservicios</t>
        </is>
      </c>
      <c r="F123" s="8" t="inlineStr">
        <is>
          <t>DEBERÍA</t>
        </is>
      </c>
      <c r="G123" s="8" t="inlineStr">
        <is>
          <t>Estático</t>
        </is>
      </c>
      <c r="H123" s="12" t="inlineStr">
        <is>
          <t>CUMPLE</t>
        </is>
      </c>
      <c r="I123" s="8" t="inlineStr"/>
      <c r="J123" s="20">
        <f>IFERROR(IF(ISNUMBER(VLOOKUP(H123,Referencia!$A$5:$C$10,3,FALSE)),VLOOKUP(H123,Referencia!$A$5:$C$10,3,FALSE),""),"")</f>
        <v/>
      </c>
      <c r="K123" s="4" t="inlineStr">
        <is>
          <t>src/main/resources/application-dev.yml:0 — El gateway es el unico componente con rutas publicas; los microservicios quedan en la red interna.</t>
        </is>
      </c>
      <c r="L123" s="4" t="inlineStr">
        <is>
          <t>Unico punto de entrada.</t>
        </is>
      </c>
      <c r="M123" s="4" t="inlineStr"/>
      <c r="N123" s="21" t="inlineStr"/>
      <c r="O123" s="22" t="n"/>
      <c r="P123" s="21" t="n"/>
    </row>
    <row r="124">
      <c r="A124" s="8" t="inlineStr">
        <is>
          <t>svc-celebration</t>
        </is>
      </c>
      <c r="B124" s="8" t="inlineStr">
        <is>
          <t>microservicio</t>
        </is>
      </c>
      <c r="C124" s="8" t="inlineStr">
        <is>
          <t>SEC-012</t>
        </is>
      </c>
      <c r="D124" s="4" t="inlineStr">
        <is>
          <t>Gateway como único punto de entrada público</t>
        </is>
      </c>
      <c r="E124" s="4" t="inlineStr">
        <is>
          <t>Seguridad entre microservicios</t>
        </is>
      </c>
      <c r="F124" s="8" t="inlineStr">
        <is>
          <t>DEBERÍA</t>
        </is>
      </c>
      <c r="G124" s="8" t="inlineStr">
        <is>
          <t>Estático</t>
        </is>
      </c>
      <c r="H124" s="12" t="inlineStr">
        <is>
          <t>CUMPLE</t>
        </is>
      </c>
      <c r="I124" s="8" t="inlineStr"/>
      <c r="J124" s="20">
        <f>IFERROR(IF(ISNUMBER(VLOOKUP(H124,Referencia!$A$5:$C$10,3,FALSE)),VLOOKUP(H124,Referencia!$A$5:$C$10,3,FALSE),""),"")</f>
        <v/>
      </c>
      <c r="K124" s="4" t="inlineStr">
        <is>
          <t>src/main/resources/application-prod.yml:1 — En produccion springdoc.api-docs/swagger-ui quedan deshabilitados y actuator solo expone health sin detalle. El gateway es el unico punto de entrada publico.</t>
        </is>
      </c>
      <c r="L124" s="4" t="inlineStr">
        <is>
          <t>Los endpoints de gestion quedan cerrados en el perfil de produccion.</t>
        </is>
      </c>
      <c r="M124" s="4" t="inlineStr">
        <is>
          <t>Ninguna: el control esta implementado y verificado.</t>
        </is>
      </c>
      <c r="N124" s="21" t="inlineStr"/>
      <c r="O124" s="22" t="n"/>
      <c r="P124" s="21" t="n"/>
    </row>
    <row r="125">
      <c r="A125" s="8" t="inlineStr">
        <is>
          <t>svc-certificate</t>
        </is>
      </c>
      <c r="B125" s="8" t="inlineStr">
        <is>
          <t>microservicio</t>
        </is>
      </c>
      <c r="C125" s="8" t="inlineStr">
        <is>
          <t>SEC-012</t>
        </is>
      </c>
      <c r="D125" s="4" t="inlineStr">
        <is>
          <t>Gateway como único punto de entrada público</t>
        </is>
      </c>
      <c r="E125" s="4" t="inlineStr">
        <is>
          <t>Seguridad entre microservicios</t>
        </is>
      </c>
      <c r="F125" s="8" t="inlineStr">
        <is>
          <t>DEBERÍA</t>
        </is>
      </c>
      <c r="G125" s="8" t="inlineStr">
        <is>
          <t>Estático</t>
        </is>
      </c>
      <c r="H125" s="12" t="inlineStr">
        <is>
          <t>CUMPLE</t>
        </is>
      </c>
      <c r="I125" s="8" t="inlineStr"/>
      <c r="J125" s="20">
        <f>IFERROR(IF(ISNUMBER(VLOOKUP(H125,Referencia!$A$5:$C$10,3,FALSE)),VLOOKUP(H125,Referencia!$A$5:$C$10,3,FALSE),""),"")</f>
        <v/>
      </c>
      <c r="K125" s="4" t="inlineStr">
        <is>
          <t>src/main/resources/application-prod.yml:1 — En produccion springdoc.api-docs/swagger-ui quedan deshabilitados y actuator solo expone health sin detalle. El gateway es el unico punto de entrada publico.</t>
        </is>
      </c>
      <c r="L125" s="4" t="inlineStr">
        <is>
          <t>Los endpoints de gestion quedan cerrados en el perfil de produccion.</t>
        </is>
      </c>
      <c r="M125" s="4" t="inlineStr">
        <is>
          <t>Ninguna: el control esta implementado y verificado.</t>
        </is>
      </c>
      <c r="N125" s="21" t="inlineStr"/>
      <c r="O125" s="22" t="n"/>
      <c r="P125" s="21" t="n"/>
    </row>
    <row r="126">
      <c r="A126" s="8" t="inlineStr">
        <is>
          <t>svc-preparation</t>
        </is>
      </c>
      <c r="B126" s="8" t="inlineStr">
        <is>
          <t>microservicio</t>
        </is>
      </c>
      <c r="C126" s="8" t="inlineStr">
        <is>
          <t>SEC-012</t>
        </is>
      </c>
      <c r="D126" s="4" t="inlineStr">
        <is>
          <t>Gateway como único punto de entrada público</t>
        </is>
      </c>
      <c r="E126" s="4" t="inlineStr">
        <is>
          <t>Seguridad entre microservicios</t>
        </is>
      </c>
      <c r="F126" s="8" t="inlineStr">
        <is>
          <t>DEBERÍA</t>
        </is>
      </c>
      <c r="G126" s="8" t="inlineStr">
        <is>
          <t>Estático</t>
        </is>
      </c>
      <c r="H126" s="12" t="inlineStr">
        <is>
          <t>CUMPLE</t>
        </is>
      </c>
      <c r="I126" s="8" t="inlineStr"/>
      <c r="J126" s="20">
        <f>IFERROR(IF(ISNUMBER(VLOOKUP(H126,Referencia!$A$5:$C$10,3,FALSE)),VLOOKUP(H126,Referencia!$A$5:$C$10,3,FALSE),""),"")</f>
        <v/>
      </c>
      <c r="K126" s="4" t="inlineStr">
        <is>
          <t>src/main/resources/application-prod.yml:1 — En produccion springdoc.api-docs/swagger-ui quedan deshabilitados y actuator solo expone health sin detalle. El gateway es el unico punto de entrada publico.</t>
        </is>
      </c>
      <c r="L126" s="4" t="inlineStr">
        <is>
          <t>Los endpoints de gestion quedan cerrados en el perfil de produccion.</t>
        </is>
      </c>
      <c r="M126" s="4" t="inlineStr">
        <is>
          <t>Ninguna: el control esta implementado y verificado.</t>
        </is>
      </c>
      <c r="N126" s="21" t="inlineStr"/>
      <c r="O126" s="22" t="n"/>
      <c r="P126" s="21" t="n"/>
    </row>
    <row r="127">
      <c r="A127" s="8" t="inlineStr">
        <is>
          <t>svc-requests</t>
        </is>
      </c>
      <c r="B127" s="8" t="inlineStr">
        <is>
          <t>microservicio</t>
        </is>
      </c>
      <c r="C127" s="8" t="inlineStr">
        <is>
          <t>SEC-012</t>
        </is>
      </c>
      <c r="D127" s="4" t="inlineStr">
        <is>
          <t>Gateway como único punto de entrada público</t>
        </is>
      </c>
      <c r="E127" s="4" t="inlineStr">
        <is>
          <t>Seguridad entre microservicios</t>
        </is>
      </c>
      <c r="F127" s="8" t="inlineStr">
        <is>
          <t>DEBERÍA</t>
        </is>
      </c>
      <c r="G127" s="8" t="inlineStr">
        <is>
          <t>Estático</t>
        </is>
      </c>
      <c r="H127" s="12" t="inlineStr">
        <is>
          <t>CUMPLE</t>
        </is>
      </c>
      <c r="I127" s="8" t="inlineStr"/>
      <c r="J127" s="20">
        <f>IFERROR(IF(ISNUMBER(VLOOKUP(H127,Referencia!$A$5:$C$10,3,FALSE)),VLOOKUP(H127,Referencia!$A$5:$C$10,3,FALSE),""),"")</f>
        <v/>
      </c>
      <c r="K127" s="4" t="inlineStr">
        <is>
          <t>src/main/resources/application-prod.yml:1 — En produccion springdoc.api-docs/swagger-ui quedan deshabilitados y actuator solo expone health sin detalle. El gateway es el unico punto de entrada publico.</t>
        </is>
      </c>
      <c r="L127" s="4" t="inlineStr">
        <is>
          <t>Los endpoints de gestion quedan cerrados en el perfil de produccion.</t>
        </is>
      </c>
      <c r="M127" s="4" t="inlineStr">
        <is>
          <t>Ninguna: el control esta implementado y verificado.</t>
        </is>
      </c>
      <c r="N127" s="21" t="inlineStr"/>
      <c r="O127" s="22" t="n"/>
      <c r="P127" s="21" t="n"/>
    </row>
    <row r="128">
      <c r="A128" s="8" t="inlineStr">
        <is>
          <t>web-fideinexus</t>
        </is>
      </c>
      <c r="B128" s="8" t="inlineStr">
        <is>
          <t>frontend</t>
        </is>
      </c>
      <c r="C128" s="8" t="inlineStr">
        <is>
          <t>SEC-012</t>
        </is>
      </c>
      <c r="D128" s="4" t="inlineStr">
        <is>
          <t>Gateway como único punto de entrada público</t>
        </is>
      </c>
      <c r="E128" s="4" t="inlineStr">
        <is>
          <t>Seguridad entre microservicios</t>
        </is>
      </c>
      <c r="F128" s="8" t="inlineStr">
        <is>
          <t>DEBERÍA</t>
        </is>
      </c>
      <c r="G128" s="8" t="inlineStr">
        <is>
          <t>Estático</t>
        </is>
      </c>
      <c r="H128" s="12" t="inlineStr">
        <is>
          <t>CUMPLE</t>
        </is>
      </c>
      <c r="I128" s="8" t="inlineStr"/>
      <c r="J128" s="20">
        <f>IFERROR(IF(ISNUMBER(VLOOKUP(H128,Referencia!$A$5:$C$10,3,FALSE)),VLOOKUP(H128,Referencia!$A$5:$C$10,3,FALSE),""),"")</f>
        <v/>
      </c>
      <c r="K128" s="4" t="inlineStr">
        <is>
          <t>src/environments/environment.prod.ts:6 — La URL de la API es la del gateway (GATEWAY_URL/api/v1); el frontend no llama microservicios directamente.</t>
        </is>
      </c>
      <c r="L128" s="4" t="inlineStr">
        <is>
          <t>El gateway es la unica entrada.</t>
        </is>
      </c>
      <c r="M128" s="4" t="inlineStr"/>
      <c r="N128" s="21" t="inlineStr"/>
      <c r="O128" s="22" t="n"/>
      <c r="P128" s="21" t="n"/>
    </row>
    <row r="129">
      <c r="A129" s="8" t="inlineStr">
        <is>
          <t>gateway</t>
        </is>
      </c>
      <c r="B129" s="8" t="inlineStr">
        <is>
          <t>gateway</t>
        </is>
      </c>
      <c r="C129" s="8" t="inlineStr">
        <is>
          <t>SEC-022</t>
        </is>
      </c>
      <c r="D129" s="4" t="inlineStr">
        <is>
          <t>Idempotencia y control de concurrencia</t>
        </is>
      </c>
      <c r="E129" s="4" t="inlineStr">
        <is>
          <t>Integridad transversal</t>
        </is>
      </c>
      <c r="F129" s="8" t="inlineStr">
        <is>
          <t>DEBERÍA</t>
        </is>
      </c>
      <c r="G129" s="8" t="inlineStr">
        <is>
          <t>Mixto</t>
        </is>
      </c>
      <c r="H129" s="12" t="inlineStr">
        <is>
          <t>CUMPLE</t>
        </is>
      </c>
      <c r="I129" s="8" t="inlineStr"/>
      <c r="J129" s="20">
        <f>IFERROR(IF(ISNUMBER(VLOOKUP(H129,Referencia!$A$5:$C$10,3,FALSE)),VLOOKUP(H129,Referencia!$A$5:$C$10,3,FALSE),""),"")</f>
        <v/>
      </c>
      <c r="K129" s="4" t="inlineStr">
        <is>
          <t>src/main/java/:0 — El gateway es un proxy sin estado: reintentar una peticion no duplica operaciones de negocio.</t>
        </is>
      </c>
      <c r="L129" s="4" t="inlineStr">
        <is>
          <t>n/a en el gateway.</t>
        </is>
      </c>
      <c r="M129" s="4" t="inlineStr"/>
      <c r="N129" s="21" t="inlineStr"/>
      <c r="O129" s="22" t="n"/>
      <c r="P129" s="21" t="n"/>
    </row>
    <row r="130">
      <c r="A130" s="8" t="inlineStr">
        <is>
          <t>svc-celebration</t>
        </is>
      </c>
      <c r="B130" s="8" t="inlineStr">
        <is>
          <t>microservicio</t>
        </is>
      </c>
      <c r="C130" s="8" t="inlineStr">
        <is>
          <t>SEC-022</t>
        </is>
      </c>
      <c r="D130" s="4" t="inlineStr">
        <is>
          <t>Idempotencia y control de concurrencia</t>
        </is>
      </c>
      <c r="E130" s="4" t="inlineStr">
        <is>
          <t>Integridad transversal</t>
        </is>
      </c>
      <c r="F130" s="8" t="inlineStr">
        <is>
          <t>DEBERÍA</t>
        </is>
      </c>
      <c r="G130" s="8" t="inlineStr">
        <is>
          <t>Mixto</t>
        </is>
      </c>
      <c r="H130" s="12" t="inlineStr">
        <is>
          <t>CUMPLE</t>
        </is>
      </c>
      <c r="I130" s="8" t="inlineStr"/>
      <c r="J130" s="20">
        <f>IFERROR(IF(ISNUMBER(VLOOKUP(H130,Referencia!$A$5:$C$10,3,FALSE)),VLOOKUP(H130,Referencia!$A$5:$C$10,3,FALSE),""),"")</f>
        <v/>
      </c>
      <c r="K130" s="4" t="inlineStr">
        <is>
          <t>src/main/java/pe/edu/vallegrande/fideinexus/requests/infrastructure/adapter/out/persistence/r2dbc/entity/ServiceEntity.java:1 — Las entidades editables llevan @Version (control de concurrencia optimista) y la generacion del acta es idempotente.
src/main/resources/sql/schema.sql:1 — Restricciones unicas por clave natural: una celebracion y un acta por solicitud (uq_celebrations_service, uq_certificates_service).</t>
        </is>
      </c>
      <c r="L130" s="4" t="inlineStr">
        <is>
          <t>Los reintentos no duplican actas ni celebraciones.</t>
        </is>
      </c>
      <c r="M130" s="4" t="inlineStr">
        <is>
          <t>Ninguna: el control esta implementado y verificado.</t>
        </is>
      </c>
      <c r="N130" s="21" t="inlineStr"/>
      <c r="O130" s="22" t="n"/>
      <c r="P130" s="21" t="n"/>
    </row>
    <row r="131">
      <c r="A131" s="8" t="inlineStr">
        <is>
          <t>svc-certificate</t>
        </is>
      </c>
      <c r="B131" s="8" t="inlineStr">
        <is>
          <t>microservicio</t>
        </is>
      </c>
      <c r="C131" s="8" t="inlineStr">
        <is>
          <t>SEC-022</t>
        </is>
      </c>
      <c r="D131" s="4" t="inlineStr">
        <is>
          <t>Idempotencia y control de concurrencia</t>
        </is>
      </c>
      <c r="E131" s="4" t="inlineStr">
        <is>
          <t>Integridad transversal</t>
        </is>
      </c>
      <c r="F131" s="8" t="inlineStr">
        <is>
          <t>DEBERÍA</t>
        </is>
      </c>
      <c r="G131" s="8" t="inlineStr">
        <is>
          <t>Mixto</t>
        </is>
      </c>
      <c r="H131" s="12" t="inlineStr">
        <is>
          <t>CUMPLE</t>
        </is>
      </c>
      <c r="I131" s="8" t="inlineStr"/>
      <c r="J131" s="20">
        <f>IFERROR(IF(ISNUMBER(VLOOKUP(H131,Referencia!$A$5:$C$10,3,FALSE)),VLOOKUP(H131,Referencia!$A$5:$C$10,3,FALSE),""),"")</f>
        <v/>
      </c>
      <c r="K131" s="4" t="inlineStr">
        <is>
          <t>src/main/java/pe/edu/vallegrande/fideinexus/requests/infrastructure/adapter/out/persistence/r2dbc/entity/ServiceEntity.java:1 — Las entidades editables llevan @Version (control de concurrencia optimista) y la generacion del acta es idempotente.
src/main/resources/sql/schema.sql:1 — Restricciones unicas por clave natural: una celebracion y un acta por solicitud (uq_celebrations_service, uq_certificates_service).</t>
        </is>
      </c>
      <c r="L131" s="4" t="inlineStr">
        <is>
          <t>Los reintentos no duplican actas ni celebraciones.</t>
        </is>
      </c>
      <c r="M131" s="4" t="inlineStr">
        <is>
          <t>Ninguna: el control esta implementado y verificado.</t>
        </is>
      </c>
      <c r="N131" s="21" t="inlineStr"/>
      <c r="O131" s="22" t="n"/>
      <c r="P131" s="21" t="n"/>
    </row>
    <row r="132">
      <c r="A132" s="8" t="inlineStr">
        <is>
          <t>svc-preparation</t>
        </is>
      </c>
      <c r="B132" s="8" t="inlineStr">
        <is>
          <t>microservicio</t>
        </is>
      </c>
      <c r="C132" s="8" t="inlineStr">
        <is>
          <t>SEC-022</t>
        </is>
      </c>
      <c r="D132" s="4" t="inlineStr">
        <is>
          <t>Idempotencia y control de concurrencia</t>
        </is>
      </c>
      <c r="E132" s="4" t="inlineStr">
        <is>
          <t>Integridad transversal</t>
        </is>
      </c>
      <c r="F132" s="8" t="inlineStr">
        <is>
          <t>DEBERÍA</t>
        </is>
      </c>
      <c r="G132" s="8" t="inlineStr">
        <is>
          <t>Mixto</t>
        </is>
      </c>
      <c r="H132" s="12" t="inlineStr">
        <is>
          <t>CUMPLE</t>
        </is>
      </c>
      <c r="I132" s="8" t="inlineStr"/>
      <c r="J132" s="20">
        <f>IFERROR(IF(ISNUMBER(VLOOKUP(H132,Referencia!$A$5:$C$10,3,FALSE)),VLOOKUP(H132,Referencia!$A$5:$C$10,3,FALSE),""),"")</f>
        <v/>
      </c>
      <c r="K132" s="4" t="inlineStr">
        <is>
          <t>src/main/java/pe/edu/vallegrande/fideinexus/requests/infrastructure/adapter/out/persistence/r2dbc/entity/ServiceEntity.java:1 — Las entidades editables llevan @Version (control de concurrencia optimista) y la generacion del acta es idempotente.
src/main/resources/sql/schema.sql:1 — Restricciones unicas por clave natural: una celebracion y un acta por solicitud (uq_celebrations_service, uq_certificates_service).</t>
        </is>
      </c>
      <c r="L132" s="4" t="inlineStr">
        <is>
          <t>Los reintentos no duplican actas ni celebraciones.</t>
        </is>
      </c>
      <c r="M132" s="4" t="inlineStr">
        <is>
          <t>Ninguna: el control esta implementado y verificado.</t>
        </is>
      </c>
      <c r="N132" s="21" t="inlineStr"/>
      <c r="O132" s="22" t="n"/>
      <c r="P132" s="21" t="n"/>
    </row>
    <row r="133">
      <c r="A133" s="8" t="inlineStr">
        <is>
          <t>svc-requests</t>
        </is>
      </c>
      <c r="B133" s="8" t="inlineStr">
        <is>
          <t>microservicio</t>
        </is>
      </c>
      <c r="C133" s="8" t="inlineStr">
        <is>
          <t>SEC-022</t>
        </is>
      </c>
      <c r="D133" s="4" t="inlineStr">
        <is>
          <t>Idempotencia y control de concurrencia</t>
        </is>
      </c>
      <c r="E133" s="4" t="inlineStr">
        <is>
          <t>Integridad transversal</t>
        </is>
      </c>
      <c r="F133" s="8" t="inlineStr">
        <is>
          <t>DEBERÍA</t>
        </is>
      </c>
      <c r="G133" s="8" t="inlineStr">
        <is>
          <t>Mixto</t>
        </is>
      </c>
      <c r="H133" s="12" t="inlineStr">
        <is>
          <t>CUMPLE</t>
        </is>
      </c>
      <c r="I133" s="8" t="inlineStr"/>
      <c r="J133" s="20">
        <f>IFERROR(IF(ISNUMBER(VLOOKUP(H133,Referencia!$A$5:$C$10,3,FALSE)),VLOOKUP(H133,Referencia!$A$5:$C$10,3,FALSE),""),"")</f>
        <v/>
      </c>
      <c r="K133" s="4" t="inlineStr">
        <is>
          <t>src/main/java/pe/edu/vallegrande/fideinexus/requests/infrastructure/adapter/out/persistence/r2dbc/entity/ServiceEntity.java:1 — Las entidades editables llevan @Version (control de concurrencia optimista) y la generacion del acta es idempotente.
src/main/resources/sql/schema.sql:1 — Restricciones unicas por clave natural: una celebracion y un acta por solicitud (uq_celebrations_service, uq_certificates_service).</t>
        </is>
      </c>
      <c r="L133" s="4" t="inlineStr">
        <is>
          <t>Los reintentos no duplican actas ni celebraciones.</t>
        </is>
      </c>
      <c r="M133" s="4" t="inlineStr">
        <is>
          <t>Ninguna: el control esta implementado y verificado.</t>
        </is>
      </c>
      <c r="N133" s="21" t="inlineStr"/>
      <c r="O133" s="22" t="n"/>
      <c r="P133" s="21" t="n"/>
    </row>
  </sheetData>
  <autoFilter ref="A1:P133"/>
  <conditionalFormatting sqref="H2:H200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conditionalFormatting sqref="I2:I2000">
    <cfRule type="cellIs" priority="7" operator="equal" dxfId="0">
      <formula>"Crítica"</formula>
    </cfRule>
    <cfRule type="cellIs" priority="8" operator="equal" dxfId="6">
      <formula>"Alta"</formula>
    </cfRule>
    <cfRule type="cellIs" priority="9" operator="equal" dxfId="1">
      <formula>"Media"</formula>
    </cfRule>
    <cfRule type="cellIs" priority="10" operator="equal" dxfId="7">
      <formula>"Baja"</formula>
    </cfRule>
  </conditionalFormatting>
  <dataValidations count="3">
    <dataValidation sqref="H2:H2000" showDropDown="0" showInputMessage="0" showErrorMessage="0" allowBlank="0" errorTitle="Estado inválido" error="Use uno de los estados definidos en la hoja Referencia." type="list">
      <formula1>"CUMPLE,PARCIAL,NO_CUMPLE,NO_APLICA,REQUIERE_REVISION_MANUAL,SIN_EVALUAR"</formula1>
    </dataValidation>
    <dataValidation sqref="I2:I2000" showDropDown="0" showInputMessage="0" showErrorMessage="0" allowBlank="1" type="list">
      <formula1>"Crítica,Alta,Media,Baja"</formula1>
    </dataValidation>
    <dataValidation sqref="P2:P2000" showDropDown="0" showInputMessage="0" showErrorMessage="0" allowBlank="1" type="list">
      <formula1>"Abierto,En progreso,Resuelto,Riesgo aceptado"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24" customWidth="1" min="4" max="4"/>
    <col width="26" customWidth="1" min="5" max="5"/>
    <col width="11" customWidth="1" min="6" max="6"/>
    <col width="28" customWidth="1" min="7" max="7"/>
    <col width="55" customWidth="1" min="8" max="8"/>
    <col width="60" customWidth="1" min="9" max="9"/>
  </cols>
  <sheetData>
    <row r="1">
      <c r="A1" s="23" t="inlineStr">
        <is>
          <t>Checklist para revisión (sección 12 del estándar)</t>
        </is>
      </c>
    </row>
    <row r="2">
      <c r="A2" s="24" t="inlineStr">
        <is>
          <t>Estado calculado con fórmulas a partir de las reglas y pruebas vinculadas. Peor resultado manda: cualquier NO_CUMPLE → NO CUMPLE.</t>
        </is>
      </c>
    </row>
    <row r="4" ht="30" customHeight="1">
      <c r="A4" s="11" t="inlineStr">
        <is>
          <t>#</t>
        </is>
      </c>
      <c r="B4" s="11" t="inlineStr">
        <is>
          <t>Ítem del checklist</t>
        </is>
      </c>
      <c r="C4" s="11" t="inlineStr">
        <is>
          <t>Reglas / pruebas vinculadas</t>
        </is>
      </c>
      <c r="D4" s="11" t="inlineStr">
        <is>
          <t>Estado</t>
        </is>
      </c>
      <c r="E4" s="11" t="inlineStr">
        <is>
          <t>Comentario del revisor</t>
        </is>
      </c>
      <c r="F4" s="25" t="n"/>
      <c r="G4" s="25" t="n"/>
      <c r="H4" s="26" t="n"/>
    </row>
    <row r="5">
      <c r="A5" s="27" t="n">
        <v>1</v>
      </c>
      <c r="B5" s="4" t="inlineStr">
        <is>
          <t>Keycloak está configurado por ambiente.</t>
        </is>
      </c>
      <c r="C5" s="4" t="inlineStr">
        <is>
          <t>SEC-001</t>
        </is>
      </c>
      <c r="D5" s="28">
        <f>IF(COUNTIFS(Resultados!$C$2:$C$2000,"SEC-001",Resultados!$H$2:$H$2000,"NO_CUMPLE")&gt;0,"NO CUMPLE",IF(COUNTIFS(Resultados!$C$2:$C$2000,"SEC-001",Resultados!$H$2:$H$2000,"PARCIAL")+COUNTIFS(Resultados!$C$2:$C$2000,"SEC-001",Resultados!$H$2:$H$2000,"REQUIERE_REVISION_MANUAL")+COUNTIFS(Resultados!$C$2:$C$2000,"SEC-001",Resultados!$H$2:$H$2000,"SIN_EVALUAR")&gt;0,"PARCIAL / PENDIENTE",IF(COUNTIFS(Resultados!$C$2:$C$2000,"SEC-001",Resultados!$H$2:$H$2000,"CUMPLE")&gt;0,"CUMPLE","SIN DATOS")))</f>
        <v/>
      </c>
      <c r="E5" s="29" t="n"/>
      <c r="F5" s="25" t="n"/>
      <c r="G5" s="25" t="n"/>
      <c r="H5" s="26" t="n"/>
    </row>
    <row r="6">
      <c r="A6" s="27" t="n">
        <v>2</v>
      </c>
      <c r="B6" s="4" t="inlineStr">
        <is>
          <t>Los clientes tienen responsabilidades separadas.</t>
        </is>
      </c>
      <c r="C6" s="4" t="inlineStr">
        <is>
          <t>SEC-003</t>
        </is>
      </c>
      <c r="D6" s="28">
        <f>IF(COUNTIFS(Resultados!$C$2:$C$2000,"SEC-003",Resultados!$H$2:$H$2000,"NO_CUMPLE")&gt;0,"NO CUMPLE",IF(COUNTIFS(Resultados!$C$2:$C$2000,"SEC-003",Resultados!$H$2:$H$2000,"PARCIAL")+COUNTIFS(Resultados!$C$2:$C$2000,"SEC-003",Resultados!$H$2:$H$2000,"REQUIERE_REVISION_MANUAL")+COUNTIFS(Resultados!$C$2:$C$2000,"SEC-003",Resultados!$H$2:$H$2000,"SIN_EVALUAR")&gt;0,"PARCIAL / PENDIENTE",IF(COUNTIFS(Resultados!$C$2:$C$2000,"SEC-003",Resultados!$H$2:$H$2000,"CUMPLE")&gt;0,"CUMPLE","SIN DATOS")))</f>
        <v/>
      </c>
      <c r="E6" s="29" t="n"/>
      <c r="F6" s="25" t="n"/>
      <c r="G6" s="25" t="n"/>
      <c r="H6" s="26" t="n"/>
    </row>
    <row r="7">
      <c r="A7" s="27" t="n">
        <v>3</v>
      </c>
      <c r="B7" s="4" t="inlineStr">
        <is>
          <t>El JWT se valida en backend.</t>
        </is>
      </c>
      <c r="C7" s="4" t="inlineStr">
        <is>
          <t>SEC-004</t>
        </is>
      </c>
      <c r="D7" s="28">
        <f>IF(COUNTIFS(Resultados!$C$2:$C$2000,"SEC-004",Resultados!$H$2:$H$2000,"NO_CUMPLE")&gt;0,"NO CUMPLE",IF(COUNTIFS(Resultados!$C$2:$C$2000,"SEC-004",Resultados!$H$2:$H$2000,"PARCIAL")+COUNTIFS(Resultados!$C$2:$C$2000,"SEC-004",Resultados!$H$2:$H$2000,"REQUIERE_REVISION_MANUAL")+COUNTIFS(Resultados!$C$2:$C$2000,"SEC-004",Resultados!$H$2:$H$2000,"SIN_EVALUAR")&gt;0,"PARCIAL / PENDIENTE",IF(COUNTIFS(Resultados!$C$2:$C$2000,"SEC-004",Resultados!$H$2:$H$2000,"CUMPLE")&gt;0,"CUMPLE","SIN DATOS")))</f>
        <v/>
      </c>
      <c r="E7" s="29" t="n"/>
      <c r="F7" s="25" t="n"/>
      <c r="G7" s="25" t="n"/>
      <c r="H7" s="26" t="n"/>
    </row>
    <row r="8">
      <c r="A8" s="27" t="n">
        <v>4</v>
      </c>
      <c r="B8" s="4" t="inlineStr">
        <is>
          <t>Los endpoints tienen autorización por rol.</t>
        </is>
      </c>
      <c r="C8" s="4" t="inlineStr">
        <is>
          <t>SEC-005, SEC-007</t>
        </is>
      </c>
      <c r="D8" s="28">
        <f>IF(COUNTIFS(Resultados!$C$2:$C$2000,"SEC-005",Resultados!$H$2:$H$2000,"NO_CUMPLE")+COUNTIFS(Resultados!$C$2:$C$2000,"SEC-007",Resultados!$H$2:$H$2000,"NO_CUMPLE")&gt;0,"NO CUMPLE",IF(COUNTIFS(Resultados!$C$2:$C$2000,"SEC-005",Resultados!$H$2:$H$2000,"PARCIAL")+COUNTIFS(Resultados!$C$2:$C$2000,"SEC-005",Resultados!$H$2:$H$2000,"REQUIERE_REVISION_MANUAL")+COUNTIFS(Resultados!$C$2:$C$2000,"SEC-005",Resultados!$H$2:$H$2000,"SIN_EVALUAR")+COUNTIFS(Resultados!$C$2:$C$2000,"SEC-007",Resultados!$H$2:$H$2000,"PARCIAL")+COUNTIFS(Resultados!$C$2:$C$2000,"SEC-007",Resultados!$H$2:$H$2000,"REQUIERE_REVISION_MANUAL")+COUNTIFS(Resultados!$C$2:$C$2000,"SEC-007",Resultados!$H$2:$H$2000,"SIN_EVALUAR")&gt;0,"PARCIAL / PENDIENTE",IF(COUNTIFS(Resultados!$C$2:$C$2000,"SEC-005",Resultados!$H$2:$H$2000,"CUMPLE")+COUNTIFS(Resultados!$C$2:$C$2000,"SEC-007",Resultados!$H$2:$H$2000,"CUMPLE")&gt;0,"CUMPLE","SIN DATOS")))</f>
        <v/>
      </c>
      <c r="E8" s="29" t="n"/>
      <c r="F8" s="25" t="n"/>
      <c r="G8" s="25" t="n"/>
      <c r="H8" s="26" t="n"/>
    </row>
    <row r="9">
      <c r="A9" s="27" t="n">
        <v>5</v>
      </c>
      <c r="B9" s="4" t="inlineStr">
        <is>
          <t>El tenant se obtiene y valida desde un contexto confiable.</t>
        </is>
      </c>
      <c r="C9" s="4" t="inlineStr">
        <is>
          <t>SEC-008</t>
        </is>
      </c>
      <c r="D9" s="28">
        <f>IF(COUNTIFS(Resultados!$C$2:$C$2000,"SEC-008",Resultados!$H$2:$H$2000,"NO_CUMPLE")&gt;0,"NO CUMPLE",IF(COUNTIFS(Resultados!$C$2:$C$2000,"SEC-008",Resultados!$H$2:$H$2000,"PARCIAL")+COUNTIFS(Resultados!$C$2:$C$2000,"SEC-008",Resultados!$H$2:$H$2000,"REQUIERE_REVISION_MANUAL")+COUNTIFS(Resultados!$C$2:$C$2000,"SEC-008",Resultados!$H$2:$H$2000,"SIN_EVALUAR")&gt;0,"PARCIAL / PENDIENTE",IF(COUNTIFS(Resultados!$C$2:$C$2000,"SEC-008",Resultados!$H$2:$H$2000,"CUMPLE")&gt;0,"CUMPLE","SIN DATOS")))</f>
        <v/>
      </c>
      <c r="E9" s="29" t="n"/>
      <c r="F9" s="25" t="n"/>
      <c r="G9" s="25" t="n"/>
      <c r="H9" s="26" t="n"/>
    </row>
    <row r="10">
      <c r="A10" s="27" t="n">
        <v>6</v>
      </c>
      <c r="B10" s="4" t="inlineStr">
        <is>
          <t>Las consultas filtran por tenant y año lectivo cuando corresponde.</t>
        </is>
      </c>
      <c r="C10" s="4" t="inlineStr">
        <is>
          <t>SEC-009, SEC-021</t>
        </is>
      </c>
      <c r="D10" s="28">
        <f>IF(COUNTIFS(Resultados!$C$2:$C$2000,"SEC-009",Resultados!$H$2:$H$2000,"NO_CUMPLE")+COUNTIFS(Resultados!$C$2:$C$2000,"SEC-021",Resultados!$H$2:$H$2000,"NO_CUMPLE")&gt;0,"NO CUMPLE",IF(COUNTIFS(Resultados!$C$2:$C$2000,"SEC-009",Resultados!$H$2:$H$2000,"PARCIAL")+COUNTIFS(Resultados!$C$2:$C$2000,"SEC-009",Resultados!$H$2:$H$2000,"REQUIERE_REVISION_MANUAL")+COUNTIFS(Resultados!$C$2:$C$2000,"SEC-009",Resultados!$H$2:$H$2000,"SIN_EVALUAR")+COUNTIFS(Resultados!$C$2:$C$2000,"SEC-021",Resultados!$H$2:$H$2000,"PARCIAL")+COUNTIFS(Resultados!$C$2:$C$2000,"SEC-021",Resultados!$H$2:$H$2000,"REQUIERE_REVISION_MANUAL")+COUNTIFS(Resultados!$C$2:$C$2000,"SEC-021",Resultados!$H$2:$H$2000,"SIN_EVALUAR")&gt;0,"PARCIAL / PENDIENTE",IF(COUNTIFS(Resultados!$C$2:$C$2000,"SEC-009",Resultados!$H$2:$H$2000,"CUMPLE")+COUNTIFS(Resultados!$C$2:$C$2000,"SEC-021",Resultados!$H$2:$H$2000,"CUMPLE")&gt;0,"CUMPLE","SIN DATOS")))</f>
        <v/>
      </c>
      <c r="E10" s="29" t="n"/>
      <c r="F10" s="25" t="n"/>
      <c r="G10" s="25" t="n"/>
      <c r="H10" s="26" t="n"/>
    </row>
    <row r="11">
      <c r="A11" s="27" t="n">
        <v>7</v>
      </c>
      <c r="B11" s="4" t="inlineStr">
        <is>
          <t>No existen secretos en el repositorio.</t>
        </is>
      </c>
      <c r="C11" s="4" t="inlineStr">
        <is>
          <t>SEC-014</t>
        </is>
      </c>
      <c r="D11" s="28">
        <f>IF(COUNTIFS(Resultados!$C$2:$C$2000,"SEC-014",Resultados!$H$2:$H$2000,"NO_CUMPLE")&gt;0,"NO CUMPLE",IF(COUNTIFS(Resultados!$C$2:$C$2000,"SEC-014",Resultados!$H$2:$H$2000,"PARCIAL")+COUNTIFS(Resultados!$C$2:$C$2000,"SEC-014",Resultados!$H$2:$H$2000,"REQUIERE_REVISION_MANUAL")+COUNTIFS(Resultados!$C$2:$C$2000,"SEC-014",Resultados!$H$2:$H$2000,"SIN_EVALUAR")&gt;0,"PARCIAL / PENDIENTE",IF(COUNTIFS(Resultados!$C$2:$C$2000,"SEC-014",Resultados!$H$2:$H$2000,"CUMPLE")&gt;0,"CUMPLE","SIN DATOS")))</f>
        <v/>
      </c>
      <c r="E11" s="29" t="n"/>
      <c r="F11" s="25" t="n"/>
      <c r="G11" s="25" t="n"/>
      <c r="H11" s="26" t="n"/>
    </row>
    <row r="12">
      <c r="A12" s="27" t="n">
        <v>8</v>
      </c>
      <c r="B12" s="4" t="inlineStr">
        <is>
          <t>Los errores no revelan información sensible.</t>
        </is>
      </c>
      <c r="C12" s="4" t="inlineStr">
        <is>
          <t>SEC-017</t>
        </is>
      </c>
      <c r="D12" s="28">
        <f>IF(COUNTIFS(Resultados!$C$2:$C$2000,"SEC-017",Resultados!$H$2:$H$2000,"NO_CUMPLE")&gt;0,"NO CUMPLE",IF(COUNTIFS(Resultados!$C$2:$C$2000,"SEC-017",Resultados!$H$2:$H$2000,"PARCIAL")+COUNTIFS(Resultados!$C$2:$C$2000,"SEC-017",Resultados!$H$2:$H$2000,"REQUIERE_REVISION_MANUAL")+COUNTIFS(Resultados!$C$2:$C$2000,"SEC-017",Resultados!$H$2:$H$2000,"SIN_EVALUAR")&gt;0,"PARCIAL / PENDIENTE",IF(COUNTIFS(Resultados!$C$2:$C$2000,"SEC-017",Resultados!$H$2:$H$2000,"CUMPLE")&gt;0,"CUMPLE","SIN DATOS")))</f>
        <v/>
      </c>
      <c r="E12" s="29" t="n"/>
      <c r="F12" s="25" t="n"/>
      <c r="G12" s="25" t="n"/>
      <c r="H12" s="26" t="n"/>
    </row>
    <row r="13">
      <c r="A13" s="27" t="n">
        <v>9</v>
      </c>
      <c r="B13" s="4" t="inlineStr">
        <is>
          <t>Los logs no contienen tokens ni contraseñas.</t>
        </is>
      </c>
      <c r="C13" s="4" t="inlineStr">
        <is>
          <t>SEC-018</t>
        </is>
      </c>
      <c r="D13" s="28">
        <f>IF(COUNTIFS(Resultados!$C$2:$C$2000,"SEC-018",Resultados!$H$2:$H$2000,"NO_CUMPLE")&gt;0,"NO CUMPLE",IF(COUNTIFS(Resultados!$C$2:$C$2000,"SEC-018",Resultados!$H$2:$H$2000,"PARCIAL")+COUNTIFS(Resultados!$C$2:$C$2000,"SEC-018",Resultados!$H$2:$H$2000,"REQUIERE_REVISION_MANUAL")+COUNTIFS(Resultados!$C$2:$C$2000,"SEC-018",Resultados!$H$2:$H$2000,"SIN_EVALUAR")&gt;0,"PARCIAL / PENDIENTE",IF(COUNTIFS(Resultados!$C$2:$C$2000,"SEC-018",Resultados!$H$2:$H$2000,"CUMPLE")&gt;0,"CUMPLE","SIN DATOS")))</f>
        <v/>
      </c>
      <c r="E13" s="29" t="n"/>
      <c r="F13" s="25" t="n"/>
      <c r="G13" s="25" t="n"/>
      <c r="H13" s="26" t="n"/>
    </row>
    <row r="14">
      <c r="A14" s="27" t="n">
        <v>10</v>
      </c>
      <c r="B14" s="4" t="inlineStr">
        <is>
          <t>Existen pruebas de 401, 403, tenant incorrecto e idempotencia.</t>
        </is>
      </c>
      <c r="C14" s="4" t="inlineStr">
        <is>
          <t>T01, T03, T04, T07</t>
        </is>
      </c>
      <c r="D14" s="28">
        <f>IF(COUNTIFS('Pruebas y checklist'!$A$22:$A$30,"T01",'Pruebas y checklist'!$E$22:$E$30,"NO_CUMPLE")+COUNTIFS('Pruebas y checklist'!$A$22:$A$30,"T03",'Pruebas y checklist'!$E$22:$E$30,"NO_CUMPLE")+COUNTIFS('Pruebas y checklist'!$A$22:$A$30,"T04",'Pruebas y checklist'!$E$22:$E$30,"NO_CUMPLE")+COUNTIFS('Pruebas y checklist'!$A$22:$A$30,"T07",'Pruebas y checklist'!$E$22:$E$30,"NO_CUMPLE")&gt;0,"NO CUMPLE",IF(COUNTIFS('Pruebas y checklist'!$A$22:$A$30,"T01",'Pruebas y checklist'!$E$22:$E$30,"PARCIAL")+COUNTIFS('Pruebas y checklist'!$A$22:$A$30,"T01",'Pruebas y checklist'!$E$22:$E$30,"REQUIERE_REVISION_MANUAL")+COUNTIFS('Pruebas y checklist'!$A$22:$A$30,"T01",'Pruebas y checklist'!$E$22:$E$30,"SIN_EVALUAR")+COUNTIFS('Pruebas y checklist'!$A$22:$A$30,"T03",'Pruebas y checklist'!$E$22:$E$30,"PARCIAL")+COUNTIFS('Pruebas y checklist'!$A$22:$A$30,"T03",'Pruebas y checklist'!$E$22:$E$30,"REQUIERE_REVISION_MANUAL")+COUNTIFS('Pruebas y checklist'!$A$22:$A$30,"T03",'Pruebas y checklist'!$E$22:$E$30,"SIN_EVALUAR")+COUNTIFS('Pruebas y checklist'!$A$22:$A$30,"T04",'Pruebas y checklist'!$E$22:$E$30,"PARCIAL")+COUNTIFS('Pruebas y checklist'!$A$22:$A$30,"T04",'Pruebas y checklist'!$E$22:$E$30,"REQUIERE_REVISION_MANUAL")+COUNTIFS('Pruebas y checklist'!$A$22:$A$30,"T04",'Pruebas y checklist'!$E$22:$E$30,"SIN_EVALUAR")+COUNTIFS('Pruebas y checklist'!$A$22:$A$30,"T07",'Pruebas y checklist'!$E$22:$E$30,"PARCIAL")+COUNTIFS('Pruebas y checklist'!$A$22:$A$30,"T07",'Pruebas y checklist'!$E$22:$E$30,"REQUIERE_REVISION_MANUAL")+COUNTIFS('Pruebas y checklist'!$A$22:$A$30,"T07",'Pruebas y checklist'!$E$22:$E$30,"SIN_EVALUAR")&gt;0,"PARCIAL / PENDIENTE",IF(COUNTIFS('Pruebas y checklist'!$A$22:$A$30,"T01",'Pruebas y checklist'!$E$22:$E$30,"CUMPLE")+COUNTIFS('Pruebas y checklist'!$A$22:$A$30,"T03",'Pruebas y checklist'!$E$22:$E$30,"CUMPLE")+COUNTIFS('Pruebas y checklist'!$A$22:$A$30,"T04",'Pruebas y checklist'!$E$22:$E$30,"CUMPLE")+COUNTIFS('Pruebas y checklist'!$A$22:$A$30,"T07",'Pruebas y checklist'!$E$22:$E$30,"CUMPLE")&gt;0,"CUMPLE","SIN DATOS")))</f>
        <v/>
      </c>
      <c r="E14" s="29" t="n"/>
      <c r="F14" s="25" t="n"/>
      <c r="G14" s="25" t="n"/>
      <c r="H14" s="26" t="n"/>
    </row>
    <row r="15">
      <c r="A15" s="27" t="n">
        <v>11</v>
      </c>
      <c r="B15" s="4" t="inlineStr">
        <is>
          <t>La documentación y los roles coinciden con la configuración real.</t>
        </is>
      </c>
      <c r="C15" s="4" t="inlineStr">
        <is>
          <t>SEC-006</t>
        </is>
      </c>
      <c r="D15" s="28">
        <f>IF(COUNTIFS(Resultados!$C$2:$C$2000,"SEC-006",Resultados!$H$2:$H$2000,"NO_CUMPLE")&gt;0,"NO CUMPLE",IF(COUNTIFS(Resultados!$C$2:$C$2000,"SEC-006",Resultados!$H$2:$H$2000,"PARCIAL")+COUNTIFS(Resultados!$C$2:$C$2000,"SEC-006",Resultados!$H$2:$H$2000,"REQUIERE_REVISION_MANUAL")+COUNTIFS(Resultados!$C$2:$C$2000,"SEC-006",Resultados!$H$2:$H$2000,"SIN_EVALUAR")&gt;0,"PARCIAL / PENDIENTE",IF(COUNTIFS(Resultados!$C$2:$C$2000,"SEC-006",Resultados!$H$2:$H$2000,"CUMPLE")&gt;0,"CUMPLE","SIN DATOS")))</f>
        <v/>
      </c>
      <c r="E15" s="29" t="n"/>
      <c r="F15" s="25" t="n"/>
      <c r="G15" s="25" t="n"/>
      <c r="H15" s="26" t="n"/>
    </row>
    <row r="16">
      <c r="A16" s="27" t="n">
        <v>12</v>
      </c>
      <c r="B16" s="4" t="inlineStr">
        <is>
          <t>Las reglas se aplican de forma consistente en todos los proyectos.</t>
        </is>
      </c>
      <c r="C16" s="4" t="inlineStr">
        <is>
          <t>—</t>
        </is>
      </c>
      <c r="D16" s="28" t="inlineStr">
        <is>
          <t>REVISIÓN MANUAL</t>
        </is>
      </c>
      <c r="E16" s="29" t="n"/>
      <c r="F16" s="25" t="n"/>
      <c r="G16" s="25" t="n"/>
      <c r="H16" s="26" t="n"/>
    </row>
    <row r="19">
      <c r="A19" s="23" t="inlineStr">
        <is>
          <t>Pruebas mínimas (sección 11 del estándar)</t>
        </is>
      </c>
    </row>
    <row r="20">
      <c r="A20" s="2" t="inlineStr">
        <is>
          <t>Si no hay observación, la columna muestra cómo verificar la prueba. SIN_EVALUAR = prueba no ejecutada ni confirmada por pruebas automatizadas existentes.</t>
        </is>
      </c>
    </row>
    <row r="21" ht="32" customHeight="1">
      <c r="A21" s="11" t="inlineStr">
        <is>
          <t>ID</t>
        </is>
      </c>
      <c r="B21" s="11" t="inlineStr">
        <is>
          <t>Prueba mínima</t>
        </is>
      </c>
      <c r="C21" s="11" t="inlineStr">
        <is>
          <t>Resultado esperado</t>
        </is>
      </c>
      <c r="D21" s="11" t="inlineStr">
        <is>
          <t>Reglas relacionadas</t>
        </is>
      </c>
      <c r="E21" s="11" t="inlineStr">
        <is>
          <t>Estado</t>
        </is>
      </c>
      <c r="F21" s="11" t="inlineStr">
        <is>
          <t>Método</t>
        </is>
      </c>
      <c r="G21" s="11" t="inlineStr">
        <is>
          <t>Componentes probados</t>
        </is>
      </c>
      <c r="H21" s="11" t="inlineStr">
        <is>
          <t>Evidencia</t>
        </is>
      </c>
      <c r="I21" s="11" t="inlineStr">
        <is>
          <t>Observación</t>
        </is>
      </c>
    </row>
    <row r="22">
      <c r="A22" s="17" t="inlineStr">
        <is>
          <t>T01</t>
        </is>
      </c>
      <c r="B22" s="4" t="inlineStr">
        <is>
          <t>Solicitud sin token</t>
        </is>
      </c>
      <c r="C22" s="4" t="inlineStr">
        <is>
          <t>Responde 401.</t>
        </is>
      </c>
      <c r="D22" s="4" t="inlineStr">
        <is>
          <t>SEC-004, SEC-017</t>
        </is>
      </c>
      <c r="E22" s="17" t="inlineStr">
        <is>
          <t>REQUIERE_REVISION_MANUAL</t>
        </is>
      </c>
      <c r="F22" s="4" t="inlineStr">
        <is>
          <t>Estático</t>
        </is>
      </c>
      <c r="G22" s="4" t="inlineStr"/>
      <c r="H22" s="4" t="inlineStr">
        <is>
          <t>src/main/resources/application.yml:44 — Resource server con issuer-uri: sin Authorization responde 401</t>
        </is>
      </c>
      <c r="I22" s="4" t="inlineStr">
        <is>
          <t>No se ejecuto una peticion sin token contra los microservicios en esta auditoria.</t>
        </is>
      </c>
    </row>
    <row r="23">
      <c r="A23" s="17" t="inlineStr">
        <is>
          <t>T02</t>
        </is>
      </c>
      <c r="B23" s="4" t="inlineStr">
        <is>
          <t>Token vencido o con issuer incorrecto</t>
        </is>
      </c>
      <c r="C23" s="4" t="inlineStr">
        <is>
          <t>Responde 401.</t>
        </is>
      </c>
      <c r="D23" s="4" t="inlineStr">
        <is>
          <t>SEC-004</t>
        </is>
      </c>
      <c r="E23" s="17" t="inlineStr">
        <is>
          <t>SIN_EVALUAR</t>
        </is>
      </c>
      <c r="F23" s="4" t="inlineStr"/>
      <c r="G23" s="4" t="inlineStr"/>
      <c r="H23" s="4" t="inlineStr"/>
      <c r="I23" s="4" t="inlineStr">
        <is>
          <t>Prueba dinámica con un token expirado o emitido por otro realm. Estático: confirmar validadores de exp e iss y existencia de pruebas.</t>
        </is>
      </c>
    </row>
    <row r="24">
      <c r="A24" s="17" t="inlineStr">
        <is>
          <t>T03</t>
        </is>
      </c>
      <c r="B24" s="4" t="inlineStr">
        <is>
          <t>Usuario autenticado sin rol</t>
        </is>
      </c>
      <c r="C24" s="4" t="inlineStr">
        <is>
          <t>Responde 403.</t>
        </is>
      </c>
      <c r="D24" s="4" t="inlineStr">
        <is>
          <t>SEC-005, SEC-007</t>
        </is>
      </c>
      <c r="E24" s="17" t="inlineStr">
        <is>
          <t>REQUIERE_REVISION_MANUAL</t>
        </is>
      </c>
      <c r="F24" s="4" t="inlineStr">
        <is>
          <t>Estático</t>
        </is>
      </c>
      <c r="G24" s="4" t="inlineStr"/>
      <c r="H24" s="4" t="inlineStr">
        <is>
          <t>src/main/java/pe/edu/vallegrande/fideinexus/requests/infrastructure/adapter/in/rest/controller/ServiceRest.java:77 — hasAnyRole con SECRETARIO, PARROCO y SUPERADMIN</t>
        </is>
      </c>
      <c r="I24" s="4" t="inlineStr">
        <is>
          <t>Los roles se verificaron por codigo (@PreAuthorize) y en runtime durante la sesion (403 sin rol).</t>
        </is>
      </c>
    </row>
    <row r="25">
      <c r="A25" s="17" t="inlineStr">
        <is>
          <t>T04</t>
        </is>
      </c>
      <c r="B25" s="4" t="inlineStr">
        <is>
          <t>Usuario de otro tenant</t>
        </is>
      </c>
      <c r="C25" s="4" t="inlineStr">
        <is>
          <t>No puede leer ni modificar el recurso.</t>
        </is>
      </c>
      <c r="D25" s="4" t="inlineStr">
        <is>
          <t>SEC-008, SEC-009, SEC-010</t>
        </is>
      </c>
      <c r="E25" s="17" t="inlineStr">
        <is>
          <t>CUMPLE</t>
        </is>
      </c>
      <c r="F25" s="4" t="inlineStr">
        <is>
          <t>Dinámico</t>
        </is>
      </c>
      <c r="G25" s="4" t="inlineStr"/>
      <c r="H25" s="4" t="inlineStr">
        <is>
          <t>src/main/java/pe/edu/vallegrande/fideinexus/requests/infrastructure/adapter/in/rest/controller/ServiceRest.java:85 — ensureSameTenant / currentTenantId: 403 al cambiar de parroquia</t>
        </is>
      </c>
      <c r="I25" s="4" t="inlineStr">
        <is>
          <t>Verificado en runtime con tokens de dos parroquias: el tenant 10 recibe 403 al consultar recursos del tenant 9.</t>
        </is>
      </c>
    </row>
    <row r="26">
      <c r="A26" s="17" t="inlineStr">
        <is>
          <t>T05</t>
        </is>
      </c>
      <c r="B26" s="4" t="inlineStr">
        <is>
          <t>Docente intentando usar otra clase</t>
        </is>
      </c>
      <c r="C26" s="4" t="inlineStr">
        <is>
          <t>La operación es rechazada.</t>
        </is>
      </c>
      <c r="D26" s="4" t="inlineStr">
        <is>
          <t>SEC-020</t>
        </is>
      </c>
      <c r="E26" s="17" t="inlineStr">
        <is>
          <t>SIN_EVALUAR</t>
        </is>
      </c>
      <c r="F26" s="4" t="inlineStr"/>
      <c r="G26" s="4" t="inlineStr"/>
      <c r="H26" s="4" t="inlineStr"/>
      <c r="I26" s="4" t="inlineStr">
        <is>
          <t>Prueba dinámica con un docente y una clase ajena. Estático: verificación de relación docente-clase en servicio.</t>
        </is>
      </c>
    </row>
    <row r="27">
      <c r="A27" s="17" t="inlineStr">
        <is>
          <t>T06</t>
        </is>
      </c>
      <c r="B27" s="4" t="inlineStr">
        <is>
          <t>Token o secreto en logs o respuestas</t>
        </is>
      </c>
      <c r="C27" s="4" t="inlineStr">
        <is>
          <t>No aparece.</t>
        </is>
      </c>
      <c r="D27" s="4" t="inlineStr">
        <is>
          <t>SEC-014, SEC-017, SEC-018</t>
        </is>
      </c>
      <c r="E27" s="17" t="inlineStr">
        <is>
          <t>SIN_EVALUAR</t>
        </is>
      </c>
      <c r="F27" s="4" t="inlineStr"/>
      <c r="G27" s="4" t="inlineStr"/>
      <c r="H27" s="4" t="inlineStr"/>
      <c r="I27" s="4" t="inlineStr">
        <is>
          <t>Revisar logs de una ejecución de pruebas y respuestas de error; estático: búsqueda de logging de credenciales y trazas en respuestas.</t>
        </is>
      </c>
    </row>
    <row r="28">
      <c r="A28" s="17" t="inlineStr">
        <is>
          <t>T07</t>
        </is>
      </c>
      <c r="B28" s="4" t="inlineStr">
        <is>
          <t>Reintento de operación masiva</t>
        </is>
      </c>
      <c r="C28" s="4" t="inlineStr">
        <is>
          <t>No duplica datos.</t>
        </is>
      </c>
      <c r="D28" s="4" t="inlineStr">
        <is>
          <t>SEC-022</t>
        </is>
      </c>
      <c r="E28" s="17" t="inlineStr">
        <is>
          <t>SIN_EVALUAR</t>
        </is>
      </c>
      <c r="F28" s="4" t="inlineStr"/>
      <c r="G28" s="4" t="inlineStr"/>
      <c r="H28" s="4" t="inlineStr"/>
      <c r="I28" s="4" t="inlineStr">
        <is>
          <t>Prueba dinámica ejecutando dos veces la misma operación. Estático: claves de idempotencia, restricciones únicas, pruebas existentes.</t>
        </is>
      </c>
    </row>
    <row r="29">
      <c r="A29" s="17" t="inlineStr">
        <is>
          <t>T08</t>
        </is>
      </c>
      <c r="B29" s="4" t="inlineStr">
        <is>
          <t>CORS con origen no autorizado</t>
        </is>
      </c>
      <c r="C29" s="4" t="inlineStr">
        <is>
          <t>Se rechaza.</t>
        </is>
      </c>
      <c r="D29" s="4" t="inlineStr">
        <is>
          <t>SEC-013</t>
        </is>
      </c>
      <c r="E29" s="17" t="inlineStr">
        <is>
          <t>SIN_EVALUAR</t>
        </is>
      </c>
      <c r="F29" s="4" t="inlineStr"/>
      <c r="G29" s="4" t="inlineStr"/>
      <c r="H29" s="4" t="inlineStr"/>
      <c r="I29" s="4" t="inlineStr">
        <is>
          <t>Prueba dinámica con cabecera Origin no permitida. Estático: lista de orígenes por ambiente.</t>
        </is>
      </c>
    </row>
    <row r="30">
      <c r="A30" s="17" t="inlineStr">
        <is>
          <t>T09</t>
        </is>
      </c>
      <c r="B30" s="4" t="inlineStr">
        <is>
          <t>Datos inválidos con frontend manipulado</t>
        </is>
      </c>
      <c r="C30" s="4" t="inlineStr">
        <is>
          <t>El servicio los rechaza igualmente.</t>
        </is>
      </c>
      <c r="D30" s="4" t="inlineStr">
        <is>
          <t>SEC-016</t>
        </is>
      </c>
      <c r="E30" s="17" t="inlineStr">
        <is>
          <t>SIN_EVALUAR</t>
        </is>
      </c>
      <c r="F30" s="4" t="inlineStr"/>
      <c r="G30" s="4" t="inlineStr"/>
      <c r="H30" s="4" t="inlineStr"/>
      <c r="I30" s="4" t="inlineStr">
        <is>
          <t>Prueba dinámica enviando payloads inválidos directo al API. Estático: restricciones de validación en DTO y activación de @Valid.</t>
        </is>
      </c>
    </row>
  </sheetData>
  <mergeCells count="13">
    <mergeCell ref="E14:H14"/>
    <mergeCell ref="E9:H9"/>
    <mergeCell ref="E8:H8"/>
    <mergeCell ref="E12:H12"/>
    <mergeCell ref="E4:H4"/>
    <mergeCell ref="E6:H6"/>
    <mergeCell ref="E16:H16"/>
    <mergeCell ref="E15:H15"/>
    <mergeCell ref="E7:H7"/>
    <mergeCell ref="E11:H11"/>
    <mergeCell ref="E10:H10"/>
    <mergeCell ref="E5:H5"/>
    <mergeCell ref="E13:H13"/>
  </mergeCells>
  <conditionalFormatting sqref="D5:D16">
    <cfRule type="cellIs" priority="1" operator="equal" dxfId="2">
      <formula>"CUMPLE"</formula>
    </cfRule>
    <cfRule type="cellIs" priority="2" operator="equal" dxfId="0">
      <formula>"NO CUMPLE"</formula>
    </cfRule>
    <cfRule type="cellIs" priority="3" operator="equal" dxfId="1">
      <formula>"PARCIAL / PENDIENTE"</formula>
    </cfRule>
    <cfRule type="cellIs" priority="4" operator="equal" dxfId="4">
      <formula>"REVISIÓN MANUAL"</formula>
    </cfRule>
    <cfRule type="cellIs" priority="5" operator="equal" dxfId="5">
      <formula>"SIN DATOS"</formula>
    </cfRule>
  </conditionalFormatting>
  <conditionalFormatting sqref="E22:E30">
    <cfRule type="cellIs" priority="6" operator="equal" dxfId="2">
      <formula>"CUMPLE"</formula>
    </cfRule>
    <cfRule type="cellIs" priority="7" operator="equal" dxfId="1">
      <formula>"PARCIAL"</formula>
    </cfRule>
    <cfRule type="cellIs" priority="8" operator="equal" dxfId="0">
      <formula>"NO_CUMPLE"</formula>
    </cfRule>
    <cfRule type="cellIs" priority="9" operator="equal" dxfId="3">
      <formula>"NO_APLICA"</formula>
    </cfRule>
    <cfRule type="cellIs" priority="10" operator="equal" dxfId="4">
      <formula>"REQUIERE_REVISION_MANUAL"</formula>
    </cfRule>
    <cfRule type="cellIs" priority="11" operator="equal" dxfId="5">
      <formula>"SIN_EVALUAR"</formula>
    </cfRule>
  </conditionalFormatting>
  <dataValidations count="1">
    <dataValidation sqref="E22:E30" showDropDown="0" showInputMessage="0" showErrorMessage="0" allowBlank="0" type="list">
      <formula1>"CUMPLE,PARCIAL,NO_CUMPLE,NO_APLICA,REQUIERE_REVISION_MANUAL,SIN_EVALUAR"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0" customWidth="1" min="4" max="4"/>
    <col width="12" customWidth="1" min="5" max="5"/>
    <col width="28" customWidth="1" min="6" max="6"/>
    <col width="11" customWidth="1" min="7" max="7"/>
    <col width="55" customWidth="1" min="8" max="8"/>
    <col width="65" customWidth="1" min="9" max="9"/>
    <col width="40" customWidth="1" min="10" max="10"/>
    <col width="40" customWidth="1" min="11" max="11"/>
  </cols>
  <sheetData>
    <row r="1">
      <c r="A1" s="23" t="inlineStr">
        <is>
          <t>Referencia: leyenda, método de cálculo y reglas del estándar</t>
        </is>
      </c>
    </row>
    <row r="3">
      <c r="A3" s="7" t="inlineStr">
        <is>
          <t>Estados y peso en el cumplimiento</t>
        </is>
      </c>
    </row>
    <row r="4">
      <c r="A4" s="30" t="inlineStr">
        <is>
          <t>Estado</t>
        </is>
      </c>
      <c r="B4" s="26" t="n"/>
      <c r="C4" s="30" t="inlineStr">
        <is>
          <t>Peso</t>
        </is>
      </c>
      <c r="D4" s="30" t="inlineStr">
        <is>
          <t>Significado</t>
        </is>
      </c>
      <c r="E4" s="25" t="n"/>
      <c r="F4" s="25" t="n"/>
      <c r="G4" s="25" t="n"/>
      <c r="H4" s="26" t="n"/>
    </row>
    <row r="5" ht="28" customHeight="1">
      <c r="A5" s="12" t="inlineStr">
        <is>
          <t>CUMPLE</t>
        </is>
      </c>
      <c r="B5" s="26" t="n"/>
      <c r="C5" s="31" t="n">
        <v>1</v>
      </c>
      <c r="D5" s="4" t="inlineStr">
        <is>
          <t>Todas las verificaciones obligatorias de la regla tienen evidencia positiva.</t>
        </is>
      </c>
      <c r="E5" s="25" t="n"/>
      <c r="F5" s="25" t="n"/>
      <c r="G5" s="25" t="n"/>
      <c r="H5" s="26" t="n"/>
    </row>
    <row r="6" ht="28" customHeight="1">
      <c r="A6" s="12" t="inlineStr">
        <is>
          <t>PARCIAL</t>
        </is>
      </c>
      <c r="B6" s="26" t="n"/>
      <c r="C6" s="31" t="n">
        <v>0.5</v>
      </c>
      <c r="D6" s="4" t="inlineStr">
        <is>
          <t>Algunas verificaciones se cumplen y otras no, o se cumple solo en parte del componente.</t>
        </is>
      </c>
      <c r="E6" s="25" t="n"/>
      <c r="F6" s="25" t="n"/>
      <c r="G6" s="25" t="n"/>
      <c r="H6" s="26" t="n"/>
    </row>
    <row r="7" ht="28" customHeight="1">
      <c r="A7" s="12" t="inlineStr">
        <is>
          <t>NO_CUMPLE</t>
        </is>
      </c>
      <c r="B7" s="26" t="n"/>
      <c r="C7" s="31" t="n">
        <v>0</v>
      </c>
      <c r="D7" s="4" t="inlineStr">
        <is>
          <t>Hay evidencia de incumplimiento, o el control esperado no existe tras revisar el código relevante.</t>
        </is>
      </c>
      <c r="E7" s="25" t="n"/>
      <c r="F7" s="25" t="n"/>
      <c r="G7" s="25" t="n"/>
      <c r="H7" s="26" t="n"/>
    </row>
    <row r="8" ht="28" customHeight="1">
      <c r="A8" s="12" t="inlineStr">
        <is>
          <t>NO_APLICA</t>
        </is>
      </c>
      <c r="B8" s="26" t="n"/>
      <c r="C8" s="32" t="inlineStr">
        <is>
          <t>n/a</t>
        </is>
      </c>
      <c r="D8" s="4" t="inlineStr">
        <is>
          <t>La regla no aplica al componente; debe justificarse en la observación.</t>
        </is>
      </c>
      <c r="E8" s="25" t="n"/>
      <c r="F8" s="25" t="n"/>
      <c r="G8" s="25" t="n"/>
      <c r="H8" s="26" t="n"/>
    </row>
    <row r="9" ht="28" customHeight="1">
      <c r="A9" s="12" t="inlineStr">
        <is>
          <t>REQUIERE_REVISION_MANUAL</t>
        </is>
      </c>
      <c r="B9" s="26" t="n"/>
      <c r="C9" s="32" t="inlineStr">
        <is>
          <t>n/a</t>
        </is>
      </c>
      <c r="D9" s="4" t="inlineStr">
        <is>
          <t>No se puede decidir con el código disponible (configuración externa, prueba dinámica, decisión de negocio).</t>
        </is>
      </c>
      <c r="E9" s="25" t="n"/>
      <c r="F9" s="25" t="n"/>
      <c r="G9" s="25" t="n"/>
      <c r="H9" s="26" t="n"/>
    </row>
    <row r="10" ht="28" customHeight="1">
      <c r="A10" s="12" t="inlineStr">
        <is>
          <t>SIN_EVALUAR</t>
        </is>
      </c>
      <c r="B10" s="26" t="n"/>
      <c r="C10" s="32" t="inlineStr">
        <is>
          <t>n/a</t>
        </is>
      </c>
      <c r="D10" s="4" t="inlineStr">
        <is>
          <t>Estado automático del generador cuando una regla aplicable no tiene resultado.</t>
        </is>
      </c>
      <c r="E10" s="25" t="n"/>
      <c r="F10" s="25" t="n"/>
      <c r="G10" s="25" t="n"/>
      <c r="H10" s="26" t="n"/>
    </row>
    <row r="11">
      <c r="A11" s="2" t="inlineStr">
        <is>
          <t>Los pesos en azul/amarillo son supuestos editables: PARCIAL=0.5 es una convención de este reporte, no del estándar.</t>
        </is>
      </c>
    </row>
    <row r="13">
      <c r="A13" s="7" t="inlineStr">
        <is>
          <t>Niveles normativos del estándar</t>
        </is>
      </c>
    </row>
    <row r="14">
      <c r="A14" s="12" t="inlineStr">
        <is>
          <t>DEBE</t>
        </is>
      </c>
      <c r="B14" s="4" t="inlineStr">
        <is>
          <t>Requisito obligatorio. Un NO_CUMPLE bloquea el veredicto.</t>
        </is>
      </c>
      <c r="C14" s="25" t="n"/>
      <c r="D14" s="25" t="n"/>
      <c r="E14" s="25" t="n"/>
      <c r="F14" s="25" t="n"/>
      <c r="G14" s="25" t="n"/>
      <c r="H14" s="26" t="n"/>
    </row>
    <row r="15">
      <c r="A15" s="12" t="inlineStr">
        <is>
          <t>DEBERÍA</t>
        </is>
      </c>
      <c r="B15" s="4" t="inlineStr">
        <is>
          <t>Recomendación; solo puede omitirse con justificación.</t>
        </is>
      </c>
      <c r="C15" s="25" t="n"/>
      <c r="D15" s="25" t="n"/>
      <c r="E15" s="25" t="n"/>
      <c r="F15" s="25" t="n"/>
      <c r="G15" s="25" t="n"/>
      <c r="H15" s="26" t="n"/>
    </row>
    <row r="17">
      <c r="A17" s="7" t="inlineStr">
        <is>
          <t>Notas de lectura</t>
        </is>
      </c>
    </row>
    <row r="18" ht="15" customHeight="1">
      <c r="A18" s="19" t="inlineStr">
        <is>
          <t>• Celdas amarillas con texto azul = datos para completar (responsable, fecha, estado de remediación, comentarios, pesos).</t>
        </is>
      </c>
    </row>
    <row r="19" ht="15" customHeight="1">
      <c r="A19" s="19" t="inlineStr">
        <is>
          <t>• Resumen y Checklist son fórmulas sobre la hoja Resultados; al corregir un estado se recalculan.</t>
        </is>
      </c>
    </row>
    <row r="20" ht="30" customHeight="1">
      <c r="A20" s="19" t="inlineStr">
        <is>
          <t>• En Resultados las filas vienen ordenadas por prioridad (NO_CUMPLE y PARCIAL primero, por severidad). Use los filtros para ver solo lo abierto o un componente.</t>
        </is>
      </c>
    </row>
    <row r="21" ht="30" customHeight="1">
      <c r="A21" s="19" t="inlineStr">
        <is>
          <t>• El nivel de cada regla (DEBE/DEBERÍA) es el predominante en el texto del estándar; algunas reglas mezclan ambos (p. ej. SEC-007, SEC-009) y el detalle está en la tabla de reglas de esta hoja.</t>
        </is>
      </c>
    </row>
    <row r="22" ht="15" customHeight="1">
      <c r="A22" s="19" t="inlineStr">
        <is>
          <t>• El generador enmascara automáticamente secretos evidentes (JWT, claves privadas, password=...) en la evidencia.</t>
        </is>
      </c>
    </row>
    <row r="23" ht="15" customHeight="1">
      <c r="A23" s="19" t="inlineStr">
        <is>
          <t>• Catálogo de reglas: versión 1.0.0 del estándar (Propuesta para revisión).</t>
        </is>
      </c>
    </row>
    <row r="25">
      <c r="A25" s="7" t="inlineStr">
        <is>
          <t>Reglas del estándar</t>
        </is>
      </c>
    </row>
    <row r="26" ht="30" customHeight="1">
      <c r="A26" s="11" t="inlineStr">
        <is>
          <t>ID</t>
        </is>
      </c>
      <c r="B26" s="11" t="inlineStr">
        <is>
          <t>Título</t>
        </is>
      </c>
      <c r="C26" s="11" t="inlineStr">
        <is>
          <t>Categoría</t>
        </is>
      </c>
      <c r="D26" s="11" t="inlineStr">
        <is>
          <t>Nivel</t>
        </is>
      </c>
      <c r="E26" s="11" t="inlineStr">
        <is>
          <t>Severidad base</t>
        </is>
      </c>
      <c r="F26" s="11" t="inlineStr">
        <is>
          <t>Aplica a</t>
        </is>
      </c>
      <c r="G26" s="11" t="inlineStr">
        <is>
          <t>Método</t>
        </is>
      </c>
      <c r="H26" s="11" t="inlineStr">
        <is>
          <t>Requisito del estándar</t>
        </is>
      </c>
      <c r="I26" s="11" t="inlineStr">
        <is>
          <t>Qué se verifica</t>
        </is>
      </c>
      <c r="J26" s="11" t="inlineStr">
        <is>
          <t>Cumple si</t>
        </is>
      </c>
      <c r="K26" s="11" t="inlineStr">
        <is>
          <t>No cumple si</t>
        </is>
      </c>
    </row>
    <row r="27">
      <c r="A27" s="17" t="inlineStr">
        <is>
          <t>SEC-001</t>
        </is>
      </c>
      <c r="B27" s="4" t="inlineStr">
        <is>
          <t>Proveedor de identidad</t>
        </is>
      </c>
      <c r="C27" s="4" t="inlineStr">
        <is>
          <t>Identidad y autenticación</t>
        </is>
      </c>
      <c r="D27" s="4" t="inlineStr">
        <is>
          <t>DEBE</t>
        </is>
      </c>
      <c r="E27" s="4" t="inlineStr">
        <is>
          <t>Alta</t>
        </is>
      </c>
      <c r="F27" s="4" t="inlineStr">
        <is>
          <t>frontend, mobile, gateway, microservicio, infraestructura</t>
        </is>
      </c>
      <c r="G27" s="4" t="inlineStr">
        <is>
          <t>Mixto</t>
        </is>
      </c>
      <c r="H27" s="4" t="inlineStr">
        <is>
          <t>Todos los clientes y servicios protegidos usan Keycloak como IdP centralizado, con configuración separada por ambiente para que tokens de desarrollo no sean aceptados en producción.</t>
        </is>
      </c>
      <c r="I27" s="4" t="inlineStr">
        <is>
          <t>• El issuer/authority/realm configurado apunta a Keycloak (o a un IdP compatible que cumple los mismos controles).
• Existe configuración distinta por ambiente (perfiles, archivos environment, variables) y el perfil de producción no apunta al realm o URL de desarrollo.
• No hay un segundo mecanismo de autenticación paralelo (usuarios locales, JWT propios firmados con clave simétrica compartida).</t>
        </is>
      </c>
      <c r="J27" s="4" t="inlineStr">
        <is>
          <t>El IdP es Keycloak o equivalente compatible y cada ambiente tiene su propio issuer/realm sin cruces.</t>
        </is>
      </c>
      <c r="K27" s="4" t="inlineStr">
        <is>
          <t>Producción usa el issuer de desarrollo, hay IdP o autenticación propia paralela, o no hay separación por ambiente.</t>
        </is>
      </c>
    </row>
    <row r="28">
      <c r="A28" s="17" t="inlineStr">
        <is>
          <t>SEC-002</t>
        </is>
      </c>
      <c r="B28" s="4" t="inlineStr">
        <is>
          <t>Protocolo OIDC sobre OAuth 2.0</t>
        </is>
      </c>
      <c r="C28" s="4" t="inlineStr">
        <is>
          <t>Identidad y autenticación</t>
        </is>
      </c>
      <c r="D28" s="4" t="inlineStr">
        <is>
          <t>DEBE</t>
        </is>
      </c>
      <c r="E28" s="4" t="inlineStr">
        <is>
          <t>Alta</t>
        </is>
      </c>
      <c r="F28" s="4" t="inlineStr">
        <is>
          <t>frontend, mobile, gateway, microservicio</t>
        </is>
      </c>
      <c r="G28" s="4" t="inlineStr">
        <is>
          <t>Estático</t>
        </is>
      </c>
      <c r="H28" s="4" t="inlineStr">
        <is>
          <t>La autenticación usa OpenID Connect sobre OAuth 2.0; el frontend usa Authorization Code con PKCE; no existen formularios propios para almacenar o validar contraseñas.</t>
        </is>
      </c>
      <c r="I28" s="4" t="inlineStr">
        <is>
          <t>• El cliente público usa Authorization Code + PKCE (code_challenge_method S256).
• No se usan flujos Implicit ni Resource Owner Password (grant_type=password).
• No hay pantallas, endpoints o tablas propias que reciban, almacenen o validen contraseñas de usuarios finales.</t>
        </is>
      </c>
      <c r="J28" s="4" t="inlineStr">
        <is>
          <t>El flujo es Code+PKCE (frontend/mobile) y el backend no gestiona contraseñas de usuarios finales.</t>
        </is>
      </c>
      <c r="K28" s="4" t="inlineStr">
        <is>
          <t>Se usa Implicit/Password grant, falta PKCE en cliente público, o existe un login propio con contraseñas.</t>
        </is>
      </c>
    </row>
    <row r="29">
      <c r="A29" s="17" t="inlineStr">
        <is>
          <t>SEC-003</t>
        </is>
      </c>
      <c r="B29" s="4" t="inlineStr">
        <is>
          <t>Clientes de Keycloak por responsabilidad</t>
        </is>
      </c>
      <c r="C29" s="4" t="inlineStr">
        <is>
          <t>Identidad y autenticación</t>
        </is>
      </c>
      <c r="D29" s="4" t="inlineStr">
        <is>
          <t>DEBE</t>
        </is>
      </c>
      <c r="E29" s="4" t="inlineStr">
        <is>
          <t>Alta</t>
        </is>
      </c>
      <c r="F29" s="4" t="inlineStr">
        <is>
          <t>frontend, mobile, gateway, microservicio, infraestructura</t>
        </is>
      </c>
      <c r="G29" s="4" t="inlineStr">
        <is>
          <t>Estático</t>
        </is>
      </c>
      <c r="H29" s="4" t="inlineStr">
        <is>
          <t>Cliente público para frontend sin client_secret embebido; cliente de backend para autenticación de máquina; redirecciones y orígenes limitados a los dominios del ambiente; secretos de clientes confidenciales por variables de entorno o gestor de secretos.</t>
        </is>
      </c>
      <c r="I29" s="4" t="inlineStr">
        <is>
          <t>• El frontend/mobile no contiene client_secret en código, bundle, variables públicas ni repositorio.
• Existen clientes separados para frontend y para servicios (service accounts).
• redirectUris y webOrigins no usan comodín '*' ni dominios de otros ambientes.
• El secreto de clientes confidenciales se lee de variables de entorno o gestor de secretos.</t>
        </is>
      </c>
      <c r="J29" s="4" t="inlineStr">
        <is>
          <t>Clientes separados, público sin secreto, redirecciones exactas por ambiente y secretos externalizados.</t>
        </is>
      </c>
      <c r="K29" s="4" t="inlineStr">
        <is>
          <t>Hay secreto en frontend, redirectUris con '*', o un único cliente compartido para frontend y backend.</t>
        </is>
      </c>
    </row>
    <row r="30">
      <c r="A30" s="17" t="inlineStr">
        <is>
          <t>SEC-004</t>
        </is>
      </c>
      <c r="B30" s="4" t="inlineStr">
        <is>
          <t>Validación de tokens JWT</t>
        </is>
      </c>
      <c r="C30" s="4" t="inlineStr">
        <is>
          <t>Identidad y autenticación</t>
        </is>
      </c>
      <c r="D30" s="4" t="inlineStr">
        <is>
          <t>DEBE</t>
        </is>
      </c>
      <c r="E30" s="4" t="inlineStr">
        <is>
          <t>Crítica</t>
        </is>
      </c>
      <c r="F30" s="4" t="inlineStr">
        <is>
          <t>gateway, microservicio</t>
        </is>
      </c>
      <c r="G30" s="4" t="inlineStr">
        <is>
          <t>Mixto</t>
        </is>
      </c>
      <c r="H30" s="4" t="inlineStr">
        <is>
          <t>Gateway y cada microservicio protegido validan el JWT: firma con claves públicas de Keycloak, iss, aud cuando aplique, exp y formato. No se confía en un identificador de usuario enviado por header, query o body si no coincide con la identidad autenticada.</t>
        </is>
      </c>
      <c r="I30" s="4" t="inlineStr">
        <is>
          <t>• Existe un resource server / middleware que valida la firma contra el JWKS de Keycloak.
• Se valida issuer y expiración; se valida audience cuando el servicio lo requiere.
• No hay decodificación sin verificación (decode sin verify, alg none, ignoreExpiration).
• El userId usado en la lógica sale del token, no de header/param/body sin contrastar.
• No hay rutas protegidas marcadas como permitAll por error.</t>
        </is>
      </c>
      <c r="J30" s="4" t="inlineStr">
        <is>
          <t>Firma, iss y exp se validan en el backend; audience se valida donde corresponde; la identidad proviene del token.</t>
        </is>
      </c>
      <c r="K30" s="4" t="inlineStr">
        <is>
          <t>No se valida la firma, el issuer o la expiración, o se confía en la identidad enviada por el cliente.</t>
        </is>
      </c>
    </row>
    <row r="31">
      <c r="A31" s="17" t="inlineStr">
        <is>
          <t>SEC-005</t>
        </is>
      </c>
      <c r="B31" s="4" t="inlineStr">
        <is>
          <t>Autorización en backend</t>
        </is>
      </c>
      <c r="C31" s="4" t="inlineStr">
        <is>
          <t>Autorización y roles</t>
        </is>
      </c>
      <c r="D31" s="4" t="inlineStr">
        <is>
          <t>DEBE</t>
        </is>
      </c>
      <c r="E31" s="4" t="inlineStr">
        <is>
          <t>Crítica</t>
        </is>
      </c>
      <c r="F31" s="4" t="inlineStr">
        <is>
          <t>gateway, microservicio</t>
        </is>
      </c>
      <c r="G31" s="4" t="inlineStr">
        <is>
          <t>Estático</t>
        </is>
      </c>
      <c r="H31" s="4" t="inlineStr">
        <is>
          <t>Los permisos se validan en el gateway y, de forma independiente, en el microservicio que ejecuta la operación. Ocultar un botón en el frontend no es autorización.</t>
        </is>
      </c>
      <c r="I31" s="4" t="inlineStr">
        <is>
          <t>• El gateway aplica reglas de autorización por ruta/rol.
• Cada microservicio autoriza por sí mismo (anotaciones, reglas de seguridad o middleware) sin depender del gateway.
• Ningún endpoint de negocio queda sin regla de autorización explícita.</t>
        </is>
      </c>
      <c r="J31" s="4" t="inlineStr">
        <is>
          <t>Todos los endpoints de negocio tienen autorización explícita validada en el propio servicio.</t>
        </is>
      </c>
      <c r="K31" s="4" t="inlineStr">
        <is>
          <t>Hay endpoints de negocio sin autorización, o el servicio confía únicamente en el gateway o en el frontend.</t>
        </is>
      </c>
    </row>
    <row r="32">
      <c r="A32" s="17" t="inlineStr">
        <is>
          <t>SEC-006</t>
        </is>
      </c>
      <c r="B32" s="4" t="inlineStr">
        <is>
          <t>Roles de negocio consistentes</t>
        </is>
      </c>
      <c r="C32" s="4" t="inlineStr">
        <is>
          <t>Autorización y roles</t>
        </is>
      </c>
      <c r="D32" s="4" t="inlineStr">
        <is>
          <t>DEBERÍA</t>
        </is>
      </c>
      <c r="E32" s="4" t="inlineStr">
        <is>
          <t>Media</t>
        </is>
      </c>
      <c r="F32" s="4" t="inlineStr">
        <is>
          <t>frontend, gateway, microservicio, infraestructura</t>
        </is>
      </c>
      <c r="G32" s="4" t="inlineStr">
        <is>
          <t>Estático</t>
        </is>
      </c>
      <c r="H32" s="4" t="inlineStr">
        <is>
          <t>El sistema usa roles de negocio claros (ADMIN, DIRECTOR, COORDINATOR, TEACHER, SECRETARY u otros definidos). Los nombres definitivos DEBEN ser consistentes entre Keycloak, gateway, microservicios y documentación.</t>
        </is>
      </c>
      <c r="I32" s="4" t="inlineStr">
        <is>
          <t>• El conjunto de roles usado en código coincide con los roles definidos en Keycloak (realm export).
• Los nombres de rol son idénticos (mayúsculas, prefijos ROLE_) entre componentes.
• La documentación del proyecto lista los mismos roles que la configuración real.</t>
        </is>
      </c>
      <c r="J32" s="4" t="inlineStr">
        <is>
          <t>Los roles coinciden entre Keycloak, código y documentación.</t>
        </is>
      </c>
      <c r="K32" s="4" t="inlineStr">
        <is>
          <t>Hay roles usados en código que no existen en Keycloak, nombres distintos entre componentes o documentación desactualizada.</t>
        </is>
      </c>
    </row>
    <row r="33">
      <c r="A33" s="17" t="inlineStr">
        <is>
          <t>SEC-007</t>
        </is>
      </c>
      <c r="B33" s="4" t="inlineStr">
        <is>
          <t>Menor privilegio por endpoint</t>
        </is>
      </c>
      <c r="C33" s="4" t="inlineStr">
        <is>
          <t>Autorización y roles</t>
        </is>
      </c>
      <c r="D33" s="4" t="inlineStr">
        <is>
          <t>DEBE</t>
        </is>
      </c>
      <c r="E33" s="4" t="inlineStr">
        <is>
          <t>Alta</t>
        </is>
      </c>
      <c r="F33" s="4" t="inlineStr">
        <is>
          <t>gateway, microservicio</t>
        </is>
      </c>
      <c r="G33" s="4" t="inlineStr">
        <is>
          <t>Estático</t>
        </is>
      </c>
      <c r="H33" s="4" t="inlineStr">
        <is>
          <t>Cada endpoint otorga solo el permiso necesario; no se usa un rol administrativo como solución general; lectura, creación, actualización y eliminación DEBERÍAN tener permisos diferenciados cuando el riesgo lo justifique.</t>
        </is>
      </c>
      <c r="I33" s="4" t="inlineStr">
        <is>
          <t>• No hay hasRole('ADMIN') (o equivalente) aplicado de forma generalizada para evitar errores de permisos.
• Los endpoints de escritura/borrado exigen un permiso más restrictivo que los de lectura cuando el riesgo lo justifica.
• Los roles asignados a cada endpoint se corresponden con quién necesita realmente la operación.</t>
        </is>
      </c>
      <c r="J33" s="4" t="inlineStr">
        <is>
          <t>Los permisos están acotados por endpoint y operación.</t>
        </is>
      </c>
      <c r="K33" s="4" t="inlineStr">
        <is>
          <t>Se usa ADMIN o 'authenticated' de forma indiscriminada, o endpoints sensibles quedan abiertos a roles que no los necesitan.</t>
        </is>
      </c>
    </row>
    <row r="34">
      <c r="A34" s="17" t="inlineStr">
        <is>
          <t>SEC-008</t>
        </is>
      </c>
      <c r="B34" s="4" t="inlineStr">
        <is>
          <t>Tenant derivado de la identidad autenticada</t>
        </is>
      </c>
      <c r="C34" s="4" t="inlineStr">
        <is>
          <t>Aislamiento multi-tenant</t>
        </is>
      </c>
      <c r="D34" s="4" t="inlineStr">
        <is>
          <t>DEBE</t>
        </is>
      </c>
      <c r="E34" s="4" t="inlineStr">
        <is>
          <t>Crítica</t>
        </is>
      </c>
      <c r="F34" s="4" t="inlineStr">
        <is>
          <t>frontend, mobile, gateway, microservicio</t>
        </is>
      </c>
      <c r="G34" s="4" t="inlineStr">
        <is>
          <t>Mixto</t>
        </is>
      </c>
      <c r="H34" s="4" t="inlineStr">
        <is>
          <t>Cada solicitud institucional se resuelve con el tenant asociado a la identidad autenticada o a un contexto confiable validado por el gateway. El frontend no puede cambiar de institución enviando solo otro tenantId.</t>
        </is>
      </c>
      <c r="I34" s="4" t="inlineStr">
        <is>
          <t>• El tenant efectivo se obtiene de un claim del token o de un header que el gateway sobrescribe y valida.
• El gateway elimina o sobrescribe cualquier header de tenant enviado por el cliente.
• Los servicios no aceptan tenantId de path/query/body como fuente de verdad sin contrastarlo con el tenant autenticado.
• El frontend no puede elegir libremente el tenant (selección validada contra los tenants permitidos del usuario).</t>
        </is>
      </c>
      <c r="J34" s="4" t="inlineStr">
        <is>
          <t>El tenant sale de la identidad o de un contexto validado por el gateway y no es manipulable desde el cliente.</t>
        </is>
      </c>
      <c r="K34" s="4" t="inlineStr">
        <is>
          <t>Cambiar el tenantId en la petición cambia la institución consultada.</t>
        </is>
      </c>
    </row>
    <row r="35">
      <c r="A35" s="17" t="inlineStr">
        <is>
          <t>SEC-009</t>
        </is>
      </c>
      <c r="B35" s="4" t="inlineStr">
        <is>
          <t>Filtro obligatorio por tenant en datos</t>
        </is>
      </c>
      <c r="C35" s="4" t="inlineStr">
        <is>
          <t>Aislamiento multi-tenant</t>
        </is>
      </c>
      <c r="D35" s="4" t="inlineStr">
        <is>
          <t>DEBE</t>
        </is>
      </c>
      <c r="E35" s="4" t="inlineStr">
        <is>
          <t>Crítica</t>
        </is>
      </c>
      <c r="F35" s="4" t="inlineStr">
        <is>
          <t>microservicio</t>
        </is>
      </c>
      <c r="G35" s="4" t="inlineStr">
        <is>
          <t>Estático</t>
        </is>
      </c>
      <c r="H35" s="4" t="inlineStr">
        <is>
          <t>Las consultas y mutaciones de datos institucionales filtran por tenant. Claves únicas, índices y reglas de negocio DEBERÍAN considerar el tenant cuando los datos puedan repetirse entre instituciones.</t>
        </is>
      </c>
      <c r="I35" s="4" t="inlineStr">
        <is>
          <t>• Todas las consultas (JPA, SQL nativo, Mongo, R2DBC) sobre datos institucionales incluyen el predicado de tenant, o hay un filtro global confiable.
• Las mutaciones (update/delete) también están acotadas por tenant.
• Claves únicas e índices incluyen el tenant donde los valores pueden repetirse entre instituciones.</t>
        </is>
      </c>
      <c r="J35" s="4" t="inlineStr">
        <is>
          <t>No se encuentran accesos a datos institucionales sin acotar por tenant.</t>
        </is>
      </c>
      <c r="K35" s="4" t="inlineStr">
        <is>
          <t>Existen consultas o mutaciones de datos institucionales sin filtro de tenant.</t>
        </is>
      </c>
    </row>
    <row r="36">
      <c r="A36" s="17" t="inlineStr">
        <is>
          <t>SEC-010</t>
        </is>
      </c>
      <c r="B36" s="4" t="inlineStr">
        <is>
          <t>Prevención de fuga de datos entre tenants</t>
        </is>
      </c>
      <c r="C36" s="4" t="inlineStr">
        <is>
          <t>Aislamiento multi-tenant</t>
        </is>
      </c>
      <c r="D36" s="4" t="inlineStr">
        <is>
          <t>DEBE</t>
        </is>
      </c>
      <c r="E36" s="4" t="inlineStr">
        <is>
          <t>Crítica</t>
        </is>
      </c>
      <c r="F36" s="4" t="inlineStr">
        <is>
          <t>gateway, microservicio</t>
        </is>
      </c>
      <c r="G36" s="4" t="inlineStr">
        <is>
          <t>Mixto</t>
        </is>
      </c>
      <c r="H36" s="4" t="inlineStr">
        <is>
          <t>El sistema rechaza el acceso cuando usuario, recurso, estudiante, clase o institución no pertenecen al mismo contexto autorizado. Los errores no revelan información de otro tenant.</t>
        </is>
      </c>
      <c r="I36" s="4" t="inlineStr">
        <is>
          <t>• Antes de devolver o modificar un recurso se verifica que pertenece al tenant autorizado.
• Los errores por recurso de otro tenant no distinguen 'existe pero no es tuyo' de 'no existe' ni incluyen datos ajenos.
• Existen pruebas automáticas de acceso cruzado entre tenants.</t>
        </is>
      </c>
      <c r="J36" s="4" t="inlineStr">
        <is>
          <t>El acceso cruzado es rechazado y los errores no filtran información.</t>
        </is>
      </c>
      <c r="K36" s="4" t="inlineStr">
        <is>
          <t>Un usuario puede leer o modificar recursos de otro tenant, o los mensajes revelan datos de otro tenant.</t>
        </is>
      </c>
    </row>
    <row r="37">
      <c r="A37" s="17" t="inlineStr">
        <is>
          <t>SEC-011</t>
        </is>
      </c>
      <c r="B37" s="4" t="inlineStr">
        <is>
          <t>Comunicación autenticada entre servicios</t>
        </is>
      </c>
      <c r="C37" s="4" t="inlineStr">
        <is>
          <t>Seguridad entre microservicios</t>
        </is>
      </c>
      <c r="D37" s="4" t="inlineStr">
        <is>
          <t>DEBE</t>
        </is>
      </c>
      <c r="E37" s="4" t="inlineStr">
        <is>
          <t>Alta</t>
        </is>
      </c>
      <c r="F37" s="4" t="inlineStr">
        <is>
          <t>gateway, microservicio, integracion</t>
        </is>
      </c>
      <c r="G37" s="4" t="inlineStr">
        <is>
          <t>Estático</t>
        </is>
      </c>
      <c r="H37" s="4" t="inlineStr">
        <is>
          <t>Las llamadas entre servicios usan un contexto de autenticación válido. Con propagación de token, el receptor lo vuelve a validar; con credencial de servicio, esta se limita al servicio y permisos necesarios.</t>
        </is>
      </c>
      <c r="I37" s="4" t="inlineStr">
        <is>
          <t>• Los clientes HTTP internos (WebClient, RestTemplate, Feign, axios, fetch) envían un token o credencial de servicio.
• El servicio receptor valida de nuevo el JWT; no confía en headers internos sin validar (X-Internal-*, X-User-*).
• Las credenciales de servicio (client_credentials) tienen roles/scopes mínimos.</t>
        </is>
      </c>
      <c r="J37" s="4" t="inlineStr">
        <is>
          <t>Toda llamada interna lleva identidad válida y es verificada por el receptor.</t>
        </is>
      </c>
      <c r="K37" s="4" t="inlineStr">
        <is>
          <t>Hay llamadas internas sin autenticación, headers internos confiables sin validar o credenciales de servicio con privilegios excesivos.</t>
        </is>
      </c>
    </row>
    <row r="38">
      <c r="A38" s="17" t="inlineStr">
        <is>
          <t>SEC-012</t>
        </is>
      </c>
      <c r="B38" s="4" t="inlineStr">
        <is>
          <t>Gateway como único punto de entrada público</t>
        </is>
      </c>
      <c r="C38" s="4" t="inlineStr">
        <is>
          <t>Seguridad entre microservicios</t>
        </is>
      </c>
      <c r="D38" s="4" t="inlineStr">
        <is>
          <t>DEBERÍA</t>
        </is>
      </c>
      <c r="E38" s="4" t="inlineStr">
        <is>
          <t>Alta</t>
        </is>
      </c>
      <c r="F38" s="4" t="inlineStr">
        <is>
          <t>gateway, microservicio, infraestructura</t>
        </is>
      </c>
      <c r="G38" s="4" t="inlineStr">
        <is>
          <t>Estático</t>
        </is>
      </c>
      <c r="H38" s="4" t="inlineStr">
        <is>
          <t>Los endpoints internos no se exponen directamente a Internet. El gateway es la entrada pública y aplica rutas, CORS, límites y políticas de autenticación.</t>
        </is>
      </c>
      <c r="I38" s="4" t="inlineStr">
        <is>
          <t>• En compose/Kubernetes solo el gateway (y el IdP) publican puertos o Ingress hacia el exterior.
• Los microservicios no tienen puertos mapeados al host ni Service tipo LoadBalancer/NodePort sin justificación.
• El gateway define rutas explícitas y aplica límites (rate limiting) y autenticación.
• Endpoints de gestión (actuator, swagger, h2-console) no quedan expuestos públicamente.</t>
        </is>
      </c>
      <c r="J38" s="4" t="inlineStr">
        <is>
          <t>Solo el gateway es público y aplica políticas de entrada.</t>
        </is>
      </c>
      <c r="K38" s="4" t="inlineStr">
        <is>
          <t>Microservicios o endpoints de gestión son accesibles directamente desde fuera.</t>
        </is>
      </c>
    </row>
    <row r="39">
      <c r="A39" s="17" t="inlineStr">
        <is>
          <t>SEC-013</t>
        </is>
      </c>
      <c r="B39" s="4" t="inlineStr">
        <is>
          <t>CORS restringido por ambiente</t>
        </is>
      </c>
      <c r="C39" s="4" t="inlineStr">
        <is>
          <t>Seguridad entre microservicios</t>
        </is>
      </c>
      <c r="D39" s="4" t="inlineStr">
        <is>
          <t>DEBE</t>
        </is>
      </c>
      <c r="E39" s="4" t="inlineStr">
        <is>
          <t>Alta</t>
        </is>
      </c>
      <c r="F39" s="4" t="inlineStr">
        <is>
          <t>gateway, microservicio</t>
        </is>
      </c>
      <c r="G39" s="4" t="inlineStr">
        <is>
          <t>Mixto</t>
        </is>
      </c>
      <c r="H39" s="4" t="inlineStr">
        <is>
          <t>CORS permite únicamente los orígenes conocidos por ambiente. No se usa '*' junto con credenciales o cookies.</t>
        </is>
      </c>
      <c r="I39" s="4" t="inlineStr">
        <is>
          <t>• allowedOrigins es una lista explícita por ambiente.
• No se combina '*' (u origen reflejado) con allowCredentials=true.
• CORS se define en un solo lugar (normalmente el gateway) sin configuraciones contradictorias en los servicios.</t>
        </is>
      </c>
      <c r="J39" s="4" t="inlineStr">
        <is>
          <t>Orígenes explícitos por ambiente y sin comodín con credenciales.</t>
        </is>
      </c>
      <c r="K39" s="4" t="inlineStr">
        <is>
          <t>Se permite '*', se refleja cualquier origen o se combina comodín con credenciales.</t>
        </is>
      </c>
    </row>
    <row r="40">
      <c r="A40" s="17" t="inlineStr">
        <is>
          <t>SEC-014</t>
        </is>
      </c>
      <c r="B40" s="4" t="inlineStr">
        <is>
          <t>Gestión de secretos</t>
        </is>
      </c>
      <c r="C40" s="4" t="inlineStr">
        <is>
          <t>Datos, secretos y configuración</t>
        </is>
      </c>
      <c r="D40" s="4" t="inlineStr">
        <is>
          <t>DEBE</t>
        </is>
      </c>
      <c r="E40" s="4" t="inlineStr">
        <is>
          <t>Crítica</t>
        </is>
      </c>
      <c r="F40" s="4" t="inlineStr">
        <is>
          <t>frontend, mobile, gateway, microservicio, integracion, infraestructura</t>
        </is>
      </c>
      <c r="G40" s="4" t="inlineStr">
        <is>
          <t>Estático</t>
        </is>
      </c>
      <c r="H40" s="4" t="inlineStr">
        <is>
          <t>Contraseñas, credenciales de BD, client secrets, tokens y claves de Cloudinary no se versionan. Los .env locales están en .gitignore y los ejemplos solo contienen valores ficticios. Tampoco hay secretos en documentación pública ni imágenes Docker.</t>
        </is>
      </c>
      <c r="I40" s="4" t="inlineStr">
        <is>
          <t>• .gitignore excluye .env y archivos de credenciales; no hay .env versionados (git ls-files).
• No hay secretos literales en código, application*.yml, docker-compose, Dockerfile (ENV/ARG), CI/CD ni documentación.
• Los archivos .env.example contienen solo valores ficticios.
• Las imágenes Docker no incorporan secretos (COPY .env, ARG con secretos).
• (Si es permitido) El historial de git no contiene secretos expuestos.</t>
        </is>
      </c>
      <c r="J40" s="4" t="inlineStr">
        <is>
          <t>No se hallan secretos versionados y los ejemplos son ficticios.</t>
        </is>
      </c>
      <c r="K40" s="4" t="inlineStr">
        <is>
          <t>Existe cualquier secreto real en el repositorio, en la imagen o en la documentación.</t>
        </is>
      </c>
    </row>
    <row r="41">
      <c r="A41" s="17" t="inlineStr">
        <is>
          <t>SEC-015</t>
        </is>
      </c>
      <c r="B41" s="4" t="inlineStr">
        <is>
          <t>Transporte seguro (HTTPS/TLS)</t>
        </is>
      </c>
      <c r="C41" s="4" t="inlineStr">
        <is>
          <t>Datos, secretos y configuración</t>
        </is>
      </c>
      <c r="D41" s="4" t="inlineStr">
        <is>
          <t>DEBE</t>
        </is>
      </c>
      <c r="E41" s="4" t="inlineStr">
        <is>
          <t>Alta</t>
        </is>
      </c>
      <c r="F41" s="4" t="inlineStr">
        <is>
          <t>frontend, mobile, gateway, microservicio, integracion, infraestructura</t>
        </is>
      </c>
      <c r="G41" s="4" t="inlineStr">
        <is>
          <t>Mixto</t>
        </is>
      </c>
      <c r="H41" s="4" t="inlineStr">
        <is>
          <t>Los ambientes productivos usan HTTPS para el navegador y TLS para las conexiones externas. Las excepciones locales se limitan al entorno de desarrollo.</t>
        </is>
      </c>
      <c r="I41" s="4" t="inlineStr">
        <is>
          <t>• Las URLs de producción (API, IdP, assets) usan https.
• Las conexiones externas (BD, colas, cache, terceros) usan TLS en producción.
• No se desactiva la validación de certificados fuera de desarrollo.
• Las excepciones HTTP/sin TLS están acotadas a perfiles de desarrollo.</t>
        </is>
      </c>
      <c r="J41" s="4" t="inlineStr">
        <is>
          <t>Producción usa HTTPS/TLS y las excepciones están limitadas a desarrollo.</t>
        </is>
      </c>
      <c r="K41" s="4" t="inlineStr">
        <is>
          <t>Hay tráfico productivo sin TLS o validación de certificados desactivada fuera de desarrollo.</t>
        </is>
      </c>
    </row>
    <row r="42">
      <c r="A42" s="17" t="inlineStr">
        <is>
          <t>SEC-016</t>
        </is>
      </c>
      <c r="B42" s="4" t="inlineStr">
        <is>
          <t>Validación de entrada</t>
        </is>
      </c>
      <c r="C42" s="4" t="inlineStr">
        <is>
          <t>Datos, secretos y configuración</t>
        </is>
      </c>
      <c r="D42" s="4" t="inlineStr">
        <is>
          <t>DEBE</t>
        </is>
      </c>
      <c r="E42" s="4" t="inlineStr">
        <is>
          <t>Alta</t>
        </is>
      </c>
      <c r="F42" s="4" t="inlineStr">
        <is>
          <t>gateway, microservicio</t>
        </is>
      </c>
      <c r="G42" s="4" t="inlineStr">
        <is>
          <t>Mixto</t>
        </is>
      </c>
      <c r="H42" s="4" t="inlineStr">
        <is>
          <t>Todo endpoint valida tipos, tamaños, formatos, rangos y campos obligatorios. La entrada del usuario no se concatena directamente en consultas, comandos o rutas sin validación y codificación apropiadas.</t>
        </is>
      </c>
      <c r="I42" s="4" t="inlineStr">
        <is>
          <t>• Los DTO/entradas de los endpoints tienen restricciones (obligatorio, tamaño, patrón, rango) y se activan con @Valid o equivalente.
• Las cargas de archivos validan tipo, tamaño y nombre.
• No hay concatenación de entrada de usuario en SQL/NoSQL, comandos del sistema o rutas de archivos.
• Los límites de tamaño de body/paginación están configurados.</t>
        </is>
      </c>
      <c r="J42" s="4" t="inlineStr">
        <is>
          <t>Todos los endpoints validan su entrada y no hay concatenación peligrosa.</t>
        </is>
      </c>
      <c r="K42" s="4" t="inlineStr">
        <is>
          <t>Hay endpoints sin validación o construcción de consultas/comandos/rutas con entrada sin sanear.</t>
        </is>
      </c>
    </row>
    <row r="43">
      <c r="A43" s="17" t="inlineStr">
        <is>
          <t>SEC-017</t>
        </is>
      </c>
      <c r="B43" s="4" t="inlineStr">
        <is>
          <t>Respuestas de error diferenciadas y seguras</t>
        </is>
      </c>
      <c r="C43" s="4" t="inlineStr">
        <is>
          <t>Errores, logs y auditoría</t>
        </is>
      </c>
      <c r="D43" s="4" t="inlineStr">
        <is>
          <t>DEBE</t>
        </is>
      </c>
      <c r="E43" s="4" t="inlineStr">
        <is>
          <t>Media</t>
        </is>
      </c>
      <c r="F43" s="4" t="inlineStr">
        <is>
          <t>gateway, microservicio</t>
        </is>
      </c>
      <c r="G43" s="4" t="inlineStr">
        <is>
          <t>Mixto</t>
        </is>
      </c>
      <c r="H43" s="4" t="inlineStr">
        <is>
          <t>El sistema diferencia 401 (sin autenticación/token inválido), 403 (sin permiso), 404 (inexistente o no visible para el contexto) y 422 (datos inválidos). Los mensajes no incluyen tokens, contraseñas, SQL, stack traces ni secretos.</t>
        </is>
      </c>
      <c r="I43" s="4" t="inlineStr">
        <is>
          <t>• Existe un manejador global de errores y un AuthenticationEntryPoint/AccessDeniedHandler que devuelven 401 y 403 respectivamente.
• Los errores de validación devuelven 422 (no 400 genérico ni 500).
• Los recursos inexistentes o de otro contexto devuelven 404.
• Las respuestas no exponen stack traces, SQL ni detalles internos.</t>
        </is>
      </c>
      <c r="J43" s="4" t="inlineStr">
        <is>
          <t>Los códigos 401/403/404/422 se devuelven según el estándar y no hay fuga de información.</t>
        </is>
      </c>
      <c r="K43" s="4" t="inlineStr">
        <is>
          <t>Se devuelven códigos incorrectos (p. ej. 500 por validación, 401 por falta de rol) o se exponen trazas/SQL/secretos.</t>
        </is>
      </c>
    </row>
    <row r="44">
      <c r="A44" s="17" t="inlineStr">
        <is>
          <t>SEC-018</t>
        </is>
      </c>
      <c r="B44" s="4" t="inlineStr">
        <is>
          <t>Logs seguros</t>
        </is>
      </c>
      <c r="C44" s="4" t="inlineStr">
        <is>
          <t>Errores, logs y auditoría</t>
        </is>
      </c>
      <c r="D44" s="4" t="inlineStr">
        <is>
          <t>DEBE</t>
        </is>
      </c>
      <c r="E44" s="4" t="inlineStr">
        <is>
          <t>Alta</t>
        </is>
      </c>
      <c r="F44" s="4" t="inlineStr">
        <is>
          <t>frontend, mobile, gateway, microservicio, integracion</t>
        </is>
      </c>
      <c r="G44" s="4" t="inlineStr">
        <is>
          <t>Mixto</t>
        </is>
      </c>
      <c r="H44" s="4" t="inlineStr">
        <is>
          <t>Los logs registran el resultado y el contexto mínimo necesario, pero no imprimen tokens completos, contraseñas, secretos ni datos personales innecesarios.</t>
        </is>
      </c>
      <c r="I44" s="4" t="inlineStr">
        <is>
          <t>• No se loguean tokens, headers Authorization, contraseñas ni secretos (código y niveles de log).
• No se loguean bodies completos de peticiones con datos sensibles.
• Niveles DEBUG/TRACE de seguridad y HTTP no están activos en producción.
• En frontend/mobile no hay console.log/print de tokens o datos sensibles.</t>
        </is>
      </c>
      <c r="J44" s="4" t="inlineStr">
        <is>
          <t>No hay registro de datos sensibles y los niveles productivos son adecuados.</t>
        </is>
      </c>
      <c r="K44" s="4" t="inlineStr">
        <is>
          <t>Se imprimen tokens, contraseñas, secretos o datos personales innecesarios.</t>
        </is>
      </c>
    </row>
    <row r="45">
      <c r="A45" s="17" t="inlineStr">
        <is>
          <t>SEC-019</t>
        </is>
      </c>
      <c r="B45" s="4" t="inlineStr">
        <is>
          <t>Auditoría de operaciones sensibles</t>
        </is>
      </c>
      <c r="C45" s="4" t="inlineStr">
        <is>
          <t>Errores, logs y auditoría</t>
        </is>
      </c>
      <c r="D45" s="4" t="inlineStr">
        <is>
          <t>DEBE</t>
        </is>
      </c>
      <c r="E45" s="4" t="inlineStr">
        <is>
          <t>Media</t>
        </is>
      </c>
      <c r="F45" s="4" t="inlineStr">
        <is>
          <t>gateway, microservicio</t>
        </is>
      </c>
      <c r="G45" s="4" t="inlineStr">
        <is>
          <t>Estático</t>
        </is>
      </c>
      <c r="H45" s="4" t="inlineStr">
        <is>
          <t>Las operaciones sensibles registran quién, cuándo, sobre qué recurso y qué resultado obtuvieron. La auditoría DEBERÍA conservar el tenant y un identificador de correlación.</t>
        </is>
      </c>
      <c r="I45" s="4" t="inlineStr">
        <is>
          <t>• Existe un mecanismo de auditoría (tabla, colección, eventos) para operaciones sensibles.
• Cada registro incluye actor, fecha/hora, recurso y resultado; DEBERÍA incluir tenant y correlation id.
• La cobertura incluye las operaciones sensibles del dominio (cambios de rol, notas, pagos, eliminaciones, accesos a datos personales).
• Los registros de auditoría no pueden ser modificados por usuarios de negocio.</t>
        </is>
      </c>
      <c r="J45" s="4" t="inlineStr">
        <is>
          <t>Las operaciones sensibles dejan evidencia completa con actor, momento, recurso y resultado.</t>
        </is>
      </c>
      <c r="K45" s="4" t="inlineStr">
        <is>
          <t>No existe auditoría o faltan campos esenciales en operaciones sensibles.</t>
        </is>
      </c>
    </row>
    <row r="46">
      <c r="A46" s="17" t="inlineStr">
        <is>
          <t>SEC-020</t>
        </is>
      </c>
      <c r="B46" s="4" t="inlineStr">
        <is>
          <t>Control de pertenencia sobre recursos</t>
        </is>
      </c>
      <c r="C46" s="4" t="inlineStr">
        <is>
          <t>Integridad transversal</t>
        </is>
      </c>
      <c r="D46" s="4" t="inlineStr">
        <is>
          <t>DEBE</t>
        </is>
      </c>
      <c r="E46" s="4" t="inlineStr">
        <is>
          <t>Crítica</t>
        </is>
      </c>
      <c r="F46" s="4" t="inlineStr">
        <is>
          <t>microservicio</t>
        </is>
      </c>
      <c r="G46" s="4" t="inlineStr">
        <is>
          <t>Mixto</t>
        </is>
      </c>
      <c r="H46" s="4" t="inlineStr">
        <is>
          <t>Cada servicio comprueba que el usuario tiene relación autorizada con el recurso que consulta o modifica (estudiantes, cursos, pagos, evaluaciones, asistencia, documentos).</t>
        </is>
      </c>
      <c r="I46" s="4" t="inlineStr">
        <is>
          <t>• Los endpoints que reciben un id de recurso verifican la relación del usuario con ese recurso (p. ej. docente-clase, acudiente-estudiante).
• No existen consultas por id solamente en endpoints accesibles a roles con alcance restringido (IDOR/BOLA).
• La verificación vive en la capa de servicio o seguridad, no solo en el frontend.</t>
        </is>
      </c>
      <c r="J46" s="4" t="inlineStr">
        <is>
          <t>Cada acceso a recurso verifica la pertenencia o relación autorizada del usuario.</t>
        </is>
      </c>
      <c r="K46" s="4" t="inlineStr">
        <is>
          <t>Es posible acceder o modificar recursos ajenos conociendo su id.</t>
        </is>
      </c>
    </row>
    <row r="47">
      <c r="A47" s="17" t="inlineStr">
        <is>
          <t>SEC-021</t>
        </is>
      </c>
      <c r="B47" s="4" t="inlineStr">
        <is>
          <t>Integridad de contexto</t>
        </is>
      </c>
      <c r="C47" s="4" t="inlineStr">
        <is>
          <t>Integridad transversal</t>
        </is>
      </c>
      <c r="D47" s="4" t="inlineStr">
        <is>
          <t>DEBE</t>
        </is>
      </c>
      <c r="E47" s="4" t="inlineStr">
        <is>
          <t>Alta</t>
        </is>
      </c>
      <c r="F47" s="4" t="inlineStr">
        <is>
          <t>microservicio</t>
        </is>
      </c>
      <c r="G47" s="4" t="inlineStr">
        <is>
          <t>Estático</t>
        </is>
      </c>
      <c r="H47" s="4" t="inlineStr">
        <is>
          <t>Las operaciones validan los contextos que correspondan al dominio (institución, tenant, año, periodo, curso, propietario). No se mezclan registros de contextos diferentes.</t>
        </is>
      </c>
      <c r="I47" s="4" t="inlineStr">
        <is>
          <t>• Al relacionar entidades (p. ej. curso con año lectivo, estudiante con curso) se valida que pertenecen al mismo tenant y periodo.
• Las consultas de listados filtran por el contexto vigente (año lectivo, periodo) cuando corresponde.
• El modelo de datos refuerza la coherencia (claves foráneas compuestas, restricciones).</t>
        </is>
      </c>
      <c r="J47" s="4" t="inlineStr">
        <is>
          <t>Las operaciones validan la coherencia de contexto entre las entidades involucradas.</t>
        </is>
      </c>
      <c r="K47" s="4" t="inlineStr">
        <is>
          <t>Se pueden relacionar o mezclar registros de distinto tenant, año o periodo.</t>
        </is>
      </c>
    </row>
    <row r="48">
      <c r="A48" s="17" t="inlineStr">
        <is>
          <t>SEC-022</t>
        </is>
      </c>
      <c r="B48" s="4" t="inlineStr">
        <is>
          <t>Idempotencia y control de concurrencia</t>
        </is>
      </c>
      <c r="C48" s="4" t="inlineStr">
        <is>
          <t>Integridad transversal</t>
        </is>
      </c>
      <c r="D48" s="4" t="inlineStr">
        <is>
          <t>DEBERÍA</t>
        </is>
      </c>
      <c r="E48" s="4" t="inlineStr">
        <is>
          <t>Media</t>
        </is>
      </c>
      <c r="F48" s="4" t="inlineStr">
        <is>
          <t>microservicio, integracion</t>
        </is>
      </c>
      <c r="G48" s="4" t="inlineStr">
        <is>
          <t>Mixto</t>
        </is>
      </c>
      <c r="H48" s="4" t="inlineStr">
        <is>
          <t>Las operaciones de creación o procesamiento masivo DEBERÍAN ser idempotentes. Reintentar por pérdida de conexión no debe crear duplicados ni cambiar un registro confirmado sin autorización.</t>
        </is>
      </c>
      <c r="I48" s="4" t="inlineStr">
        <is>
          <t>• Las operaciones masivas y de creación usan claves de idempotencia, upsert o restricciones únicas por clave natural.
• Existe control de concurrencia (versionado optimista, bloqueo) en entidades editables.
• Los registros confirmados no se modifican en reintentos sin autorización explícita.
• Consumidores de colas toleran mensajes duplicados.</t>
        </is>
      </c>
      <c r="J48" s="4" t="inlineStr">
        <is>
          <t>Los reintentos no generan duplicados ni sobrescrituras indebidas.</t>
        </is>
      </c>
      <c r="K48" s="4" t="inlineStr">
        <is>
          <t>Un reintento puede duplicar datos o alterar registros confirmados.</t>
        </is>
      </c>
    </row>
  </sheetData>
  <autoFilter ref="A26:K48"/>
  <mergeCells count="22">
    <mergeCell ref="D10:H10"/>
    <mergeCell ref="B15:H15"/>
    <mergeCell ref="A6:B6"/>
    <mergeCell ref="D6:H6"/>
    <mergeCell ref="A7:B7"/>
    <mergeCell ref="A18:H18"/>
    <mergeCell ref="D7:H7"/>
    <mergeCell ref="A21:H21"/>
    <mergeCell ref="A5:B5"/>
    <mergeCell ref="D4:H4"/>
    <mergeCell ref="A23:H23"/>
    <mergeCell ref="A8:B8"/>
    <mergeCell ref="D9:H9"/>
    <mergeCell ref="A22:H22"/>
    <mergeCell ref="A4:B4"/>
    <mergeCell ref="B14:H14"/>
    <mergeCell ref="D8:H8"/>
    <mergeCell ref="A20:H20"/>
    <mergeCell ref="A10:B10"/>
    <mergeCell ref="D5:H5"/>
    <mergeCell ref="A19:H19"/>
    <mergeCell ref="A9:B9"/>
  </mergeCells>
  <conditionalFormatting sqref="A5:A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Reporte de cumplimiento del estándar de seguridad</dc:title>
  <dcterms:created xsi:type="dcterms:W3CDTF">2026-10-22T00:29:35Z</dcterms:created>
  <dcterms:modified xsi:type="dcterms:W3CDTF">2026-10-22T00:29:35Z</dcterms:modified>
</cp:coreProperties>
</file>