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atriz" sheetId="2" state="visible" r:id="rId2"/>
    <sheet name="Resultados" sheetId="3" state="visible" r:id="rId3"/>
    <sheet name="Hallazgos" sheetId="4" state="visible" r:id="rId4"/>
    <sheet name="Pruebas" sheetId="5" state="visible" r:id="rId5"/>
    <sheet name="Checklist" sheetId="6" state="visible" r:id="rId6"/>
    <sheet name="Reglas" sheetId="7" state="visible" r:id="rId7"/>
    <sheet name="Leyenda" sheetId="8" state="visible" r:id="rId8"/>
  </sheets>
  <definedNames>
    <definedName name="_xlnm._FilterDatabase" localSheetId="2" hidden="1">'Resultados'!$A$1:$P$23</definedName>
    <definedName name="_xlnm._FilterDatabase" localSheetId="3" hidden="1">'Hallazgos'!$A$4:$M$5</definedName>
    <definedName name="_xlnm._FilterDatabase" localSheetId="6" hidden="1">'Reglas'!$A$1:$K$23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000000"/>
      <sz val="14"/>
    </font>
    <font>
      <name val="Arial"/>
      <i val="1"/>
      <color rgb="00595959"/>
      <sz val="10"/>
    </font>
    <font>
      <name val="Arial"/>
      <color rgb="00000000"/>
      <sz val="9"/>
    </font>
    <font>
      <name val="Arial"/>
      <color rgb="000000FF"/>
      <sz val="10"/>
    </font>
    <font>
      <name val="Arial"/>
      <color rgb="007F7F7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1" fontId="2" fillId="0" borderId="1" applyAlignment="1" pivotButton="0" quotePrefix="0" xfId="0">
      <alignment horizontal="right" vertical="top"/>
    </xf>
    <xf numFmtId="164" fontId="2" fillId="0" borderId="1" applyAlignment="1" pivotButton="0" quotePrefix="0" xfId="0">
      <alignment horizontal="right" vertical="top"/>
    </xf>
    <xf numFmtId="0" fontId="6" fillId="0" borderId="0" applyAlignment="1" pivotButton="0" quotePrefix="0" xfId="0">
      <alignment vertical="top"/>
    </xf>
    <xf numFmtId="0" fontId="7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horizontal="right" vertical="top"/>
    </xf>
    <xf numFmtId="164" fontId="3" fillId="0" borderId="1" applyAlignment="1" pivotButton="0" quotePrefix="0" xfId="0">
      <alignment horizontal="right" vertical="top"/>
    </xf>
    <xf numFmtId="0" fontId="2" fillId="2" borderId="1" applyAlignment="1" pivotButton="0" quotePrefix="0" xfId="0">
      <alignment horizontal="right" vertical="top"/>
    </xf>
    <xf numFmtId="164" fontId="2" fillId="2" borderId="1" applyAlignment="1" pivotButton="0" quotePrefix="0" xfId="0">
      <alignment horizontal="right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right" vertical="top"/>
    </xf>
    <xf numFmtId="0" fontId="3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right" vertical="top"/>
    </xf>
    <xf numFmtId="0" fontId="9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 wrapText="1"/>
    </xf>
    <xf numFmtId="165" fontId="3" fillId="0" borderId="1" applyAlignment="1" pivotButton="0" quotePrefix="0" xfId="0">
      <alignment horizontal="center" vertical="top"/>
    </xf>
    <xf numFmtId="0" fontId="11" fillId="4" borderId="1" applyAlignment="1" pivotButton="0" quotePrefix="0" xfId="0">
      <alignment vertical="top"/>
    </xf>
    <xf numFmtId="166" fontId="11" fillId="4" borderId="1" applyAlignment="1" pivotButton="0" quotePrefix="0" xfId="0">
      <alignment vertical="top"/>
    </xf>
    <xf numFmtId="0" fontId="1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11" fillId="4" borderId="1" applyAlignment="1" pivotButton="0" quotePrefix="0" xfId="0">
      <alignment vertical="top" wrapText="1"/>
    </xf>
    <xf numFmtId="165" fontId="11" fillId="4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0" fillId="0" borderId="4" pivotButton="0" quotePrefix="0" xfId="0"/>
  </cellXfs>
  <cellStyles count="1">
    <cellStyle name="Normal" xfId="0" builtinId="0" hidden="0"/>
  </cellStyles>
  <dxfs count="9"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9C570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404040"/>
      </font>
      <fill>
        <patternFill patternType="solid">
          <fgColor rgb="00E7E6E6"/>
          <bgColor rgb="00E7E6E6"/>
        </patternFill>
      </fill>
    </dxf>
    <dxf>
      <font>
        <name val="Arial"/>
        <b val="1"/>
        <color rgb="001F4E78"/>
      </font>
      <fill>
        <patternFill patternType="solid">
          <fgColor rgb="00BDD7EE"/>
          <bgColor rgb="00BDD7EE"/>
        </patternFill>
      </fill>
    </dxf>
    <dxf>
      <font>
        <name val="Arial"/>
        <b val="1"/>
        <color rgb="007F7F7F"/>
      </font>
      <fill>
        <patternFill patternType="solid">
          <fgColor rgb="00F2F2F2"/>
          <bgColor rgb="00F2F2F2"/>
        </patternFill>
      </fill>
    </dxf>
    <dxf>
      <font>
        <name val="Arial"/>
        <b val="1"/>
        <color rgb="00833C0B"/>
      </font>
      <fill>
        <patternFill patternType="solid">
          <fgColor rgb="00F8CBAD"/>
          <bgColor rgb="00F8CBAD"/>
        </patternFill>
      </fill>
    </dxf>
    <dxf>
      <font>
        <name val="Arial"/>
        <b val="1"/>
        <color rgb="00375623"/>
      </font>
      <fill>
        <patternFill patternType="solid">
          <fgColor rgb="00E2EFDA"/>
          <bgColor rgb="00E2EFDA"/>
        </patternFill>
      </fill>
    </dxf>
    <dxf>
      <font>
        <name val="Arial"/>
        <b val="1"/>
        <color rgb="00595959"/>
      </font>
      <fill>
        <patternFill patternType="solid">
          <fgColor rgb="00EDEDED"/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Resultados por componente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'Resumen'!C30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'Resumen'!$C$31</f>
            </numRef>
          </val>
        </ser>
        <ser>
          <idx val="1"/>
          <order val="1"/>
          <tx>
            <strRef>
              <f>'Resumen'!D30</f>
            </strRef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'Resumen'!$D$31</f>
            </numRef>
          </val>
        </ser>
        <ser>
          <idx val="2"/>
          <order val="2"/>
          <tx>
            <strRef>
              <f>'Resumen'!E30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'Resumen'!$E$31</f>
            </numRef>
          </val>
        </ser>
        <ser>
          <idx val="3"/>
          <order val="3"/>
          <tx>
            <strRef>
              <f>'Resumen'!G30</f>
            </strRef>
          </tx>
          <spPr>
            <a:solidFill>
              <a:srgbClr val="5B9BD5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'Resumen'!$G$31</f>
            </numRef>
          </val>
        </ser>
        <ser>
          <idx val="4"/>
          <order val="4"/>
          <tx>
            <strRef>
              <f>'Resumen'!H30</f>
            </strRef>
          </tx>
          <spPr>
            <a:solidFill>
              <a:srgbClr val="A6A6A6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'Resumen'!$H$31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86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15" customWidth="1" min="8" max="8"/>
    <col width="17" customWidth="1" min="9" max="9"/>
  </cols>
  <sheetData>
    <row r="1" ht="28" customHeight="1">
      <c r="A1" s="1" t="inlineStr">
        <is>
          <t>Reporte de cumplimiento — Estándar general de seguridad, autenticación y autorización</t>
        </is>
      </c>
    </row>
    <row r="3">
      <c r="A3" s="2" t="inlineStr">
        <is>
          <t>Proyecto</t>
        </is>
      </c>
      <c r="B3" s="3" t="inlineStr">
        <is>
          <t>vg-ms-certificate</t>
        </is>
      </c>
    </row>
    <row r="4">
      <c r="A4" s="2" t="inlineStr">
        <is>
          <t>Versión del estándar</t>
        </is>
      </c>
      <c r="B4" s="3" t="inlineStr">
        <is>
          <t>1.0.0</t>
        </is>
      </c>
    </row>
    <row r="5">
      <c r="A5" s="2" t="inlineStr">
        <is>
          <t>Fecha del análisis</t>
        </is>
      </c>
      <c r="B5" s="3" t="inlineStr">
        <is>
          <t>2026-10-23</t>
        </is>
      </c>
    </row>
    <row r="6">
      <c r="A6" s="2" t="inlineStr">
        <is>
          <t>Generado por</t>
        </is>
      </c>
      <c r="B6" s="3" t="inlineStr">
        <is>
          <t>Jenkins · standards-ci (reglas automáticas)</t>
        </is>
      </c>
    </row>
    <row r="7">
      <c r="A7" s="2" t="inlineStr">
        <is>
          <t>Alcance revisado</t>
        </is>
      </c>
      <c r="B7" s="3" t="inlineStr">
        <is>
          <t>Repositorio vg-ms-certificate: código, configuración y pruebas.</t>
        </is>
      </c>
    </row>
    <row r="9" ht="34" customHeight="1">
      <c r="A9" s="4" t="inlineStr">
        <is>
          <t>Veredicto automático</t>
        </is>
      </c>
      <c r="B9" s="5">
        <f>IF(COUNTIFS(Resultados!$F$2:$F$2000,"DEBE",Resultados!$H$2:$H$2000,"NO_CUMPLE")&gt;0,"NO APTO PARA APROBAR: hay incumplimientos de requisitos obligatorios (DEBE)",IF(COUNTIF(Resultados!$H$2:$H$2000,"SIN_EVALUAR")+COUNTIF(Resultados!$H$2:$H$2000,"REQUIERE_REVISION_MANUAL")+COUNTIFS(Resultados!$F$2:$F$2000,"DEBE",Resultados!$H$2:$H$2000,"PARCIAL")&gt;0,"APROBACIÓN CONDICIONADA: hay verificaciones pendientes o cumplimientos parciales en requisitos DEBE","APTO (según evidencia revisada): sin incumplimientos obligatorios ni pendientes"))</f>
        <v/>
      </c>
    </row>
    <row r="11">
      <c r="A11" s="6" t="inlineStr">
        <is>
          <t>Indicadores clave</t>
        </is>
      </c>
    </row>
    <row r="12">
      <c r="A12" s="7" t="inlineStr">
        <is>
          <t>Evaluaciones realizadas (componente × regla)</t>
        </is>
      </c>
      <c r="B12" s="8">
        <f>COUNTA(Resultados!$A$2:$A$2000)</f>
        <v/>
      </c>
    </row>
    <row r="13">
      <c r="A13" s="7" t="inlineStr">
        <is>
          <t>Cumplimiento global (ponderado)</t>
        </is>
      </c>
      <c r="B13" s="9">
        <f>IFERROR(SUM(Resultados!$J$2:$J$2000)/COUNT(Resultados!$J$2:$J$2000),"")</f>
        <v/>
      </c>
    </row>
    <row r="14">
      <c r="A14" s="7" t="inlineStr">
        <is>
          <t>Cumplimiento en requisitos obligatorios (DEBE)</t>
        </is>
      </c>
      <c r="B14" s="9">
        <f>IFERROR(SUMIFS(Resultados!$J$2:$J$2000,Resultados!$F$2:$F$2000,"DEBE")/COUNTIFS(Resultados!$F$2:$F$2000,"DEBE",Resultados!$J$2:$J$2000,"&gt;=0"),"")</f>
        <v/>
      </c>
    </row>
    <row r="15">
      <c r="A15" s="7" t="inlineStr">
        <is>
          <t>Cumplimiento en recomendaciones (DEBERÍA)</t>
        </is>
      </c>
      <c r="B15" s="9">
        <f>IFERROR(SUMIFS(Resultados!$J$2:$J$2000,Resultados!$F$2:$F$2000,"DEBERÍA")/COUNTIFS(Resultados!$F$2:$F$2000,"DEBERÍA",Resultados!$J$2:$J$2000,"&gt;=0"),"")</f>
        <v/>
      </c>
    </row>
    <row r="16">
      <c r="A16" s="7" t="inlineStr">
        <is>
          <t>Incumplimientos obligatorios abiertos (DEBE en NO_CUMPLE)</t>
        </is>
      </c>
      <c r="B16" s="8">
        <f>COUNTIFS(Resultados!$F$2:$F$2000,"DEBE",Resultados!$H$2:$H$2000,"NO_CUMPLE")</f>
        <v/>
      </c>
    </row>
    <row r="17">
      <c r="A17" s="10" t="inlineStr">
        <is>
          <t>El % pondera CUMPLE=1, NO_APLICA=1, PARCIAL=0.5 (ajustable en Leyenda) y NO_CUMPLE=0; REQUIERE_REVISION_MANUAL y SIN_EVALUAR no puntúan.</t>
        </is>
      </c>
    </row>
    <row r="19">
      <c r="A19" s="6" t="inlineStr">
        <is>
          <t>Distribución por estado</t>
        </is>
      </c>
    </row>
    <row r="20">
      <c r="A20" s="11" t="inlineStr">
        <is>
          <t>Estado</t>
        </is>
      </c>
      <c r="B20" s="11" t="inlineStr">
        <is>
          <t>Cantidad</t>
        </is>
      </c>
      <c r="C20" s="11" t="inlineStr">
        <is>
          <t>% del total</t>
        </is>
      </c>
    </row>
    <row r="21">
      <c r="A21" s="12" t="inlineStr">
        <is>
          <t>CUMPLE</t>
        </is>
      </c>
      <c r="B21" s="13">
        <f>COUNTIF(Resultados!$H$2:$H$2000,A21)</f>
        <v/>
      </c>
      <c r="C21" s="14">
        <f>IFERROR(B21/B$27,0)</f>
        <v/>
      </c>
    </row>
    <row r="22">
      <c r="A22" s="12" t="inlineStr">
        <is>
          <t>PARCIAL</t>
        </is>
      </c>
      <c r="B22" s="13">
        <f>COUNTIF(Resultados!$H$2:$H$2000,A22)</f>
        <v/>
      </c>
      <c r="C22" s="14">
        <f>IFERROR(B22/B$27,0)</f>
        <v/>
      </c>
    </row>
    <row r="23">
      <c r="A23" s="12" t="inlineStr">
        <is>
          <t>NO_CUMPLE</t>
        </is>
      </c>
      <c r="B23" s="13">
        <f>COUNTIF(Resultados!$H$2:$H$2000,A23)</f>
        <v/>
      </c>
      <c r="C23" s="14">
        <f>IFERROR(B23/B$27,0)</f>
        <v/>
      </c>
    </row>
    <row r="24">
      <c r="A24" s="12" t="inlineStr">
        <is>
          <t>NO_APLICA</t>
        </is>
      </c>
      <c r="B24" s="13">
        <f>COUNTIF(Resultados!$H$2:$H$2000,A24)</f>
        <v/>
      </c>
      <c r="C24" s="14">
        <f>IFERROR(B24/B$27,0)</f>
        <v/>
      </c>
    </row>
    <row r="25">
      <c r="A25" s="12" t="inlineStr">
        <is>
          <t>REQUIERE_REVISION_MANUAL</t>
        </is>
      </c>
      <c r="B25" s="13">
        <f>COUNTIF(Resultados!$H$2:$H$2000,A25)</f>
        <v/>
      </c>
      <c r="C25" s="14">
        <f>IFERROR(B25/B$27,0)</f>
        <v/>
      </c>
    </row>
    <row r="26">
      <c r="A26" s="12" t="inlineStr">
        <is>
          <t>SIN_EVALUAR</t>
        </is>
      </c>
      <c r="B26" s="13">
        <f>COUNTIF(Resultados!$H$2:$H$2000,A26)</f>
        <v/>
      </c>
      <c r="C26" s="14">
        <f>IFERROR(B26/B$27,0)</f>
        <v/>
      </c>
    </row>
    <row r="27">
      <c r="A27" s="2" t="inlineStr">
        <is>
          <t>Total</t>
        </is>
      </c>
      <c r="B27" s="15">
        <f>SUM(B21:B26)</f>
        <v/>
      </c>
      <c r="C27" s="16">
        <f>SUM(C21:C26)</f>
        <v/>
      </c>
    </row>
    <row r="29">
      <c r="A29" s="6" t="inlineStr">
        <is>
          <t>Cumplimiento por componente</t>
        </is>
      </c>
    </row>
    <row r="30" ht="44" customHeight="1">
      <c r="A30" s="11" t="inlineStr">
        <is>
          <t>Componente</t>
        </is>
      </c>
      <c r="B30" s="11" t="inlineStr">
        <is>
          <t>Tipo</t>
        </is>
      </c>
      <c r="C30" s="11" t="inlineStr">
        <is>
          <t>CUMPLE</t>
        </is>
      </c>
      <c r="D30" s="11" t="inlineStr">
        <is>
          <t>PARCIAL</t>
        </is>
      </c>
      <c r="E30" s="11" t="inlineStr">
        <is>
          <t>NO_CUMPLE</t>
        </is>
      </c>
      <c r="F30" s="11" t="inlineStr">
        <is>
          <t>NO_APLICA</t>
        </is>
      </c>
      <c r="G30" s="11" t="inlineStr">
        <is>
          <t>REQUIERE_REVISION_MANUAL</t>
        </is>
      </c>
      <c r="H30" s="11" t="inlineStr">
        <is>
          <t>SIN_EVALUAR</t>
        </is>
      </c>
      <c r="I30" s="11" t="inlineStr">
        <is>
          <t>% cumplimiento</t>
        </is>
      </c>
    </row>
    <row r="31">
      <c r="A31" s="12" t="inlineStr">
        <is>
          <t>vg-ms-certificate</t>
        </is>
      </c>
      <c r="B31" s="7" t="inlineStr">
        <is>
          <t>microservicio</t>
        </is>
      </c>
      <c r="C31" s="13">
        <f>COUNTIFS(Resultados!$A$2:$A$2000,$A31,Resultados!$H$2:$H$2000,C$30)</f>
        <v/>
      </c>
      <c r="D31" s="13">
        <f>COUNTIFS(Resultados!$A$2:$A$2000,$A31,Resultados!$H$2:$H$2000,D$30)</f>
        <v/>
      </c>
      <c r="E31" s="13">
        <f>COUNTIFS(Resultados!$A$2:$A$2000,$A31,Resultados!$H$2:$H$2000,E$30)</f>
        <v/>
      </c>
      <c r="F31" s="13">
        <f>COUNTIFS(Resultados!$A$2:$A$2000,$A31,Resultados!$H$2:$H$2000,F$30)</f>
        <v/>
      </c>
      <c r="G31" s="13">
        <f>COUNTIFS(Resultados!$A$2:$A$2000,$A31,Resultados!$H$2:$H$2000,G$30)</f>
        <v/>
      </c>
      <c r="H31" s="13">
        <f>COUNTIFS(Resultados!$A$2:$A$2000,$A31,Resultados!$H$2:$H$2000,H$30)</f>
        <v/>
      </c>
      <c r="I31" s="9">
        <f>IFERROR(SUMIFS(Resultados!$J$2:$J$2000,Resultados!$A$2:$A$2000,$A31)/COUNTIFS(Resultados!$A$2:$A$2000,$A31,Resultados!$J$2:$J$2000,"&gt;=0"),"")</f>
        <v/>
      </c>
    </row>
    <row r="50">
      <c r="A50" s="6" t="inlineStr">
        <is>
          <t>Cumplimiento por categoría del estándar</t>
        </is>
      </c>
    </row>
    <row r="51" ht="44" customHeight="1">
      <c r="A51" s="11" t="inlineStr">
        <is>
          <t>Categoría</t>
        </is>
      </c>
      <c r="B51" s="11" t="inlineStr">
        <is>
          <t>Evaluaciones</t>
        </is>
      </c>
      <c r="C51" s="11" t="inlineStr">
        <is>
          <t>CUMPLE</t>
        </is>
      </c>
      <c r="D51" s="11" t="inlineStr">
        <is>
          <t>PARCIAL</t>
        </is>
      </c>
      <c r="E51" s="11" t="inlineStr">
        <is>
          <t>NO_CUMPLE</t>
        </is>
      </c>
      <c r="F51" s="11" t="inlineStr">
        <is>
          <t>NO_APLICA</t>
        </is>
      </c>
      <c r="G51" s="11" t="inlineStr">
        <is>
          <t>REQUIERE_REVISION_MANUAL</t>
        </is>
      </c>
      <c r="H51" s="11" t="inlineStr">
        <is>
          <t>SIN_EVALUAR</t>
        </is>
      </c>
      <c r="I51" s="11" t="inlineStr">
        <is>
          <t>% cumplimiento</t>
        </is>
      </c>
    </row>
    <row r="52">
      <c r="A52" s="17" t="inlineStr">
        <is>
          <t>Identidad y autenticación</t>
        </is>
      </c>
      <c r="B52" s="13">
        <f>COUNTIFS(Resultados!$E$2:$E$2000,$A52)</f>
        <v/>
      </c>
      <c r="C52" s="13">
        <f>COUNTIFS(Resultados!$E$2:$E$2000,$A52,Resultados!$H$2:$H$2000,C$51)</f>
        <v/>
      </c>
      <c r="D52" s="13">
        <f>COUNTIFS(Resultados!$E$2:$E$2000,$A52,Resultados!$H$2:$H$2000,D$51)</f>
        <v/>
      </c>
      <c r="E52" s="13">
        <f>COUNTIFS(Resultados!$E$2:$E$2000,$A52,Resultados!$H$2:$H$2000,E$51)</f>
        <v/>
      </c>
      <c r="F52" s="13">
        <f>COUNTIFS(Resultados!$E$2:$E$2000,$A52,Resultados!$H$2:$H$2000,F$51)</f>
        <v/>
      </c>
      <c r="G52" s="13">
        <f>COUNTIFS(Resultados!$E$2:$E$2000,$A52,Resultados!$H$2:$H$2000,G$51)</f>
        <v/>
      </c>
      <c r="H52" s="13">
        <f>COUNTIFS(Resultados!$E$2:$E$2000,$A52,Resultados!$H$2:$H$2000,H$51)</f>
        <v/>
      </c>
      <c r="I52" s="9">
        <f>IFERROR(SUMIFS(Resultados!$J$2:$J$2000,Resultados!$E$2:$E$2000,$A52)/COUNTIFS(Resultados!$E$2:$E$2000,$A52,Resultados!$J$2:$J$2000,"&gt;=0"),"")</f>
        <v/>
      </c>
    </row>
    <row r="53">
      <c r="A53" s="17" t="inlineStr">
        <is>
          <t>Autorización y roles</t>
        </is>
      </c>
      <c r="B53" s="13">
        <f>COUNTIFS(Resultados!$E$2:$E$2000,$A53)</f>
        <v/>
      </c>
      <c r="C53" s="13">
        <f>COUNTIFS(Resultados!$E$2:$E$2000,$A53,Resultados!$H$2:$H$2000,C$51)</f>
        <v/>
      </c>
      <c r="D53" s="13">
        <f>COUNTIFS(Resultados!$E$2:$E$2000,$A53,Resultados!$H$2:$H$2000,D$51)</f>
        <v/>
      </c>
      <c r="E53" s="13">
        <f>COUNTIFS(Resultados!$E$2:$E$2000,$A53,Resultados!$H$2:$H$2000,E$51)</f>
        <v/>
      </c>
      <c r="F53" s="13">
        <f>COUNTIFS(Resultados!$E$2:$E$2000,$A53,Resultados!$H$2:$H$2000,F$51)</f>
        <v/>
      </c>
      <c r="G53" s="13">
        <f>COUNTIFS(Resultados!$E$2:$E$2000,$A53,Resultados!$H$2:$H$2000,G$51)</f>
        <v/>
      </c>
      <c r="H53" s="13">
        <f>COUNTIFS(Resultados!$E$2:$E$2000,$A53,Resultados!$H$2:$H$2000,H$51)</f>
        <v/>
      </c>
      <c r="I53" s="9">
        <f>IFERROR(SUMIFS(Resultados!$J$2:$J$2000,Resultados!$E$2:$E$2000,$A53)/COUNTIFS(Resultados!$E$2:$E$2000,$A53,Resultados!$J$2:$J$2000,"&gt;=0"),"")</f>
        <v/>
      </c>
    </row>
    <row r="54">
      <c r="A54" s="17" t="inlineStr">
        <is>
          <t>Aislamiento multi-tenant</t>
        </is>
      </c>
      <c r="B54" s="13">
        <f>COUNTIFS(Resultados!$E$2:$E$2000,$A54)</f>
        <v/>
      </c>
      <c r="C54" s="13">
        <f>COUNTIFS(Resultados!$E$2:$E$2000,$A54,Resultados!$H$2:$H$2000,C$51)</f>
        <v/>
      </c>
      <c r="D54" s="13">
        <f>COUNTIFS(Resultados!$E$2:$E$2000,$A54,Resultados!$H$2:$H$2000,D$51)</f>
        <v/>
      </c>
      <c r="E54" s="13">
        <f>COUNTIFS(Resultados!$E$2:$E$2000,$A54,Resultados!$H$2:$H$2000,E$51)</f>
        <v/>
      </c>
      <c r="F54" s="13">
        <f>COUNTIFS(Resultados!$E$2:$E$2000,$A54,Resultados!$H$2:$H$2000,F$51)</f>
        <v/>
      </c>
      <c r="G54" s="13">
        <f>COUNTIFS(Resultados!$E$2:$E$2000,$A54,Resultados!$H$2:$H$2000,G$51)</f>
        <v/>
      </c>
      <c r="H54" s="13">
        <f>COUNTIFS(Resultados!$E$2:$E$2000,$A54,Resultados!$H$2:$H$2000,H$51)</f>
        <v/>
      </c>
      <c r="I54" s="9">
        <f>IFERROR(SUMIFS(Resultados!$J$2:$J$2000,Resultados!$E$2:$E$2000,$A54)/COUNTIFS(Resultados!$E$2:$E$2000,$A54,Resultados!$J$2:$J$2000,"&gt;=0"),"")</f>
        <v/>
      </c>
    </row>
    <row r="55">
      <c r="A55" s="17" t="inlineStr">
        <is>
          <t>Seguridad entre microservicios</t>
        </is>
      </c>
      <c r="B55" s="13">
        <f>COUNTIFS(Resultados!$E$2:$E$2000,$A55)</f>
        <v/>
      </c>
      <c r="C55" s="13">
        <f>COUNTIFS(Resultados!$E$2:$E$2000,$A55,Resultados!$H$2:$H$2000,C$51)</f>
        <v/>
      </c>
      <c r="D55" s="13">
        <f>COUNTIFS(Resultados!$E$2:$E$2000,$A55,Resultados!$H$2:$H$2000,D$51)</f>
        <v/>
      </c>
      <c r="E55" s="13">
        <f>COUNTIFS(Resultados!$E$2:$E$2000,$A55,Resultados!$H$2:$H$2000,E$51)</f>
        <v/>
      </c>
      <c r="F55" s="13">
        <f>COUNTIFS(Resultados!$E$2:$E$2000,$A55,Resultados!$H$2:$H$2000,F$51)</f>
        <v/>
      </c>
      <c r="G55" s="13">
        <f>COUNTIFS(Resultados!$E$2:$E$2000,$A55,Resultados!$H$2:$H$2000,G$51)</f>
        <v/>
      </c>
      <c r="H55" s="13">
        <f>COUNTIFS(Resultados!$E$2:$E$2000,$A55,Resultados!$H$2:$H$2000,H$51)</f>
        <v/>
      </c>
      <c r="I55" s="9">
        <f>IFERROR(SUMIFS(Resultados!$J$2:$J$2000,Resultados!$E$2:$E$2000,$A55)/COUNTIFS(Resultados!$E$2:$E$2000,$A55,Resultados!$J$2:$J$2000,"&gt;=0"),"")</f>
        <v/>
      </c>
    </row>
    <row r="56">
      <c r="A56" s="17" t="inlineStr">
        <is>
          <t>Datos, secretos y configuración</t>
        </is>
      </c>
      <c r="B56" s="13">
        <f>COUNTIFS(Resultados!$E$2:$E$2000,$A56)</f>
        <v/>
      </c>
      <c r="C56" s="13">
        <f>COUNTIFS(Resultados!$E$2:$E$2000,$A56,Resultados!$H$2:$H$2000,C$51)</f>
        <v/>
      </c>
      <c r="D56" s="13">
        <f>COUNTIFS(Resultados!$E$2:$E$2000,$A56,Resultados!$H$2:$H$2000,D$51)</f>
        <v/>
      </c>
      <c r="E56" s="13">
        <f>COUNTIFS(Resultados!$E$2:$E$2000,$A56,Resultados!$H$2:$H$2000,E$51)</f>
        <v/>
      </c>
      <c r="F56" s="13">
        <f>COUNTIFS(Resultados!$E$2:$E$2000,$A56,Resultados!$H$2:$H$2000,F$51)</f>
        <v/>
      </c>
      <c r="G56" s="13">
        <f>COUNTIFS(Resultados!$E$2:$E$2000,$A56,Resultados!$H$2:$H$2000,G$51)</f>
        <v/>
      </c>
      <c r="H56" s="13">
        <f>COUNTIFS(Resultados!$E$2:$E$2000,$A56,Resultados!$H$2:$H$2000,H$51)</f>
        <v/>
      </c>
      <c r="I56" s="9">
        <f>IFERROR(SUMIFS(Resultados!$J$2:$J$2000,Resultados!$E$2:$E$2000,$A56)/COUNTIFS(Resultados!$E$2:$E$2000,$A56,Resultados!$J$2:$J$2000,"&gt;=0"),"")</f>
        <v/>
      </c>
    </row>
    <row r="57">
      <c r="A57" s="17" t="inlineStr">
        <is>
          <t>Errores, logs y auditoría</t>
        </is>
      </c>
      <c r="B57" s="13">
        <f>COUNTIFS(Resultados!$E$2:$E$2000,$A57)</f>
        <v/>
      </c>
      <c r="C57" s="13">
        <f>COUNTIFS(Resultados!$E$2:$E$2000,$A57,Resultados!$H$2:$H$2000,C$51)</f>
        <v/>
      </c>
      <c r="D57" s="13">
        <f>COUNTIFS(Resultados!$E$2:$E$2000,$A57,Resultados!$H$2:$H$2000,D$51)</f>
        <v/>
      </c>
      <c r="E57" s="13">
        <f>COUNTIFS(Resultados!$E$2:$E$2000,$A57,Resultados!$H$2:$H$2000,E$51)</f>
        <v/>
      </c>
      <c r="F57" s="13">
        <f>COUNTIFS(Resultados!$E$2:$E$2000,$A57,Resultados!$H$2:$H$2000,F$51)</f>
        <v/>
      </c>
      <c r="G57" s="13">
        <f>COUNTIFS(Resultados!$E$2:$E$2000,$A57,Resultados!$H$2:$H$2000,G$51)</f>
        <v/>
      </c>
      <c r="H57" s="13">
        <f>COUNTIFS(Resultados!$E$2:$E$2000,$A57,Resultados!$H$2:$H$2000,H$51)</f>
        <v/>
      </c>
      <c r="I57" s="9">
        <f>IFERROR(SUMIFS(Resultados!$J$2:$J$2000,Resultados!$E$2:$E$2000,$A57)/COUNTIFS(Resultados!$E$2:$E$2000,$A57,Resultados!$J$2:$J$2000,"&gt;=0"),"")</f>
        <v/>
      </c>
    </row>
    <row r="58">
      <c r="A58" s="17" t="inlineStr">
        <is>
          <t>Integridad transversal</t>
        </is>
      </c>
      <c r="B58" s="13">
        <f>COUNTIFS(Resultados!$E$2:$E$2000,$A58)</f>
        <v/>
      </c>
      <c r="C58" s="13">
        <f>COUNTIFS(Resultados!$E$2:$E$2000,$A58,Resultados!$H$2:$H$2000,C$51)</f>
        <v/>
      </c>
      <c r="D58" s="13">
        <f>COUNTIFS(Resultados!$E$2:$E$2000,$A58,Resultados!$H$2:$H$2000,D$51)</f>
        <v/>
      </c>
      <c r="E58" s="13">
        <f>COUNTIFS(Resultados!$E$2:$E$2000,$A58,Resultados!$H$2:$H$2000,E$51)</f>
        <v/>
      </c>
      <c r="F58" s="13">
        <f>COUNTIFS(Resultados!$E$2:$E$2000,$A58,Resultados!$H$2:$H$2000,F$51)</f>
        <v/>
      </c>
      <c r="G58" s="13">
        <f>COUNTIFS(Resultados!$E$2:$E$2000,$A58,Resultados!$H$2:$H$2000,G$51)</f>
        <v/>
      </c>
      <c r="H58" s="13">
        <f>COUNTIFS(Resultados!$E$2:$E$2000,$A58,Resultados!$H$2:$H$2000,H$51)</f>
        <v/>
      </c>
      <c r="I58" s="9">
        <f>IFERROR(SUMIFS(Resultados!$J$2:$J$2000,Resultados!$E$2:$E$2000,$A58)/COUNTIFS(Resultados!$E$2:$E$2000,$A58,Resultados!$J$2:$J$2000,"&gt;=0"),"")</f>
        <v/>
      </c>
    </row>
    <row r="60">
      <c r="A60" s="6" t="inlineStr">
        <is>
          <t>Hallazgos abiertos por severidad</t>
        </is>
      </c>
    </row>
    <row r="61">
      <c r="A61" s="11" t="inlineStr">
        <is>
          <t>Severidad</t>
        </is>
      </c>
      <c r="B61" s="11" t="inlineStr">
        <is>
          <t>NO_CUMPLE</t>
        </is>
      </c>
      <c r="C61" s="11" t="inlineStr">
        <is>
          <t>PARCIAL</t>
        </is>
      </c>
      <c r="D61" s="11" t="inlineStr">
        <is>
          <t>Total</t>
        </is>
      </c>
    </row>
    <row r="62">
      <c r="A62" s="12" t="inlineStr">
        <is>
          <t>Crítica</t>
        </is>
      </c>
      <c r="B62" s="13">
        <f>COUNTIFS(Resultados!$I$2:$I$2000,$A62,Resultados!$H$2:$H$2000,B$61)</f>
        <v/>
      </c>
      <c r="C62" s="13">
        <f>COUNTIFS(Resultados!$I$2:$I$2000,$A62,Resultados!$H$2:$H$2000,C$61)</f>
        <v/>
      </c>
      <c r="D62" s="18">
        <f>B62+C62</f>
        <v/>
      </c>
    </row>
    <row r="63">
      <c r="A63" s="12" t="inlineStr">
        <is>
          <t>Alta</t>
        </is>
      </c>
      <c r="B63" s="13">
        <f>COUNTIFS(Resultados!$I$2:$I$2000,$A63,Resultados!$H$2:$H$2000,B$61)</f>
        <v/>
      </c>
      <c r="C63" s="13">
        <f>COUNTIFS(Resultados!$I$2:$I$2000,$A63,Resultados!$H$2:$H$2000,C$61)</f>
        <v/>
      </c>
      <c r="D63" s="18">
        <f>B63+C63</f>
        <v/>
      </c>
    </row>
    <row r="64">
      <c r="A64" s="12" t="inlineStr">
        <is>
          <t>Media</t>
        </is>
      </c>
      <c r="B64" s="13">
        <f>COUNTIFS(Resultados!$I$2:$I$2000,$A64,Resultados!$H$2:$H$2000,B$61)</f>
        <v/>
      </c>
      <c r="C64" s="13">
        <f>COUNTIFS(Resultados!$I$2:$I$2000,$A64,Resultados!$H$2:$H$2000,C$61)</f>
        <v/>
      </c>
      <c r="D64" s="18">
        <f>B64+C64</f>
        <v/>
      </c>
    </row>
    <row r="65">
      <c r="A65" s="12" t="inlineStr">
        <is>
          <t>Baja</t>
        </is>
      </c>
      <c r="B65" s="13">
        <f>COUNTIFS(Resultados!$I$2:$I$2000,$A65,Resultados!$H$2:$H$2000,B$61)</f>
        <v/>
      </c>
      <c r="C65" s="13">
        <f>COUNTIFS(Resultados!$I$2:$I$2000,$A65,Resultados!$H$2:$H$2000,C$61)</f>
        <v/>
      </c>
      <c r="D65" s="18">
        <f>B65+C65</f>
        <v/>
      </c>
    </row>
    <row r="67">
      <c r="A67" s="6" t="inlineStr">
        <is>
          <t>Limitaciones y supuestos del análisis</t>
        </is>
      </c>
    </row>
    <row r="68" ht="15" customHeight="1">
      <c r="A68" s="19" t="inlineStr">
        <is>
          <t>• SEC-003, SEC-012 y la parte de despliegue de SEC-015 se toman de la revisión manual del 2026-10-22.</t>
        </is>
      </c>
    </row>
    <row r="69" ht="15" customHeight="1">
      <c r="A69" s="19" t="inlineStr">
        <is>
          <t>• Las pruebas dinámicas contra el ambiente desplegado no se ejecutan en este análisis.</t>
        </is>
      </c>
    </row>
    <row r="70" ht="30" customHeight="1">
      <c r="A70" s="19" t="inlineStr">
        <is>
          <t>• El resultado se basa en la evidencia disponible en el código y la configuración revisados; no sustituye una prueba de penetración ni la aprobación formal del equipo de seguridad.</t>
        </is>
      </c>
    </row>
    <row r="71" ht="30" customHeight="1">
      <c r="A71" s="19" t="inlineStr">
        <is>
          <t>• Los estados REQUIERE_REVISION_MANUAL indican verificaciones que dependen de configuración externa (p. ej. Keycloak en ejecución) o de pruebas dinámicas no ejecutadas.</t>
        </is>
      </c>
    </row>
  </sheetData>
  <mergeCells count="11">
    <mergeCell ref="B9:I9"/>
    <mergeCell ref="A68:I68"/>
    <mergeCell ref="A71:I71"/>
    <mergeCell ref="B7:I7"/>
    <mergeCell ref="B6:I6"/>
    <mergeCell ref="A1:I1"/>
    <mergeCell ref="B3:I3"/>
    <mergeCell ref="B5:I5"/>
    <mergeCell ref="A70:I70"/>
    <mergeCell ref="A69:I69"/>
    <mergeCell ref="B4:I4"/>
  </mergeCells>
  <conditionalFormatting sqref="B9">
    <cfRule type="expression" priority="1" dxfId="0">
      <formula>LEFT($B$9,7)="NO APTO"</formula>
    </cfRule>
    <cfRule type="expression" priority="2" dxfId="1">
      <formula>LEFT($B$9,6)="APROBA"</formula>
    </cfRule>
    <cfRule type="expression" priority="3" dxfId="2">
      <formula>LEFT($B$9,6)="APTO ("</formula>
    </cfRule>
  </conditionalFormatting>
  <conditionalFormatting sqref="A21:A26">
    <cfRule type="cellIs" priority="4" operator="equal" dxfId="2">
      <formula>"CUMPLE"</formula>
    </cfRule>
    <cfRule type="cellIs" priority="5" operator="equal" dxfId="1">
      <formula>"PARCIAL"</formula>
    </cfRule>
    <cfRule type="cellIs" priority="6" operator="equal" dxfId="0">
      <formula>"NO_CUMPLE"</formula>
    </cfRule>
    <cfRule type="cellIs" priority="7" operator="equal" dxfId="3">
      <formula>"NO_APLICA"</formula>
    </cfRule>
    <cfRule type="cellIs" priority="8" operator="equal" dxfId="4">
      <formula>"REQUIERE_REVISION_MANUAL"</formula>
    </cfRule>
    <cfRule type="cellIs" priority="9" operator="equal" dxfId="5">
      <formula>"SIN_EVALUAR"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20" customWidth="1" min="4" max="4"/>
  </cols>
  <sheetData>
    <row r="1">
      <c r="A1" s="20" t="inlineStr">
        <is>
          <t>Matriz de cumplimiento: regla × componente</t>
        </is>
      </c>
    </row>
    <row r="2">
      <c r="A2" s="21" t="inlineStr">
        <is>
          <t>Se alimenta con fórmulas desde la hoja Resultados. '—' = la regla no aplica o no tiene fila.</t>
        </is>
      </c>
    </row>
    <row r="3">
      <c r="C3" s="22" t="inlineStr">
        <is>
          <t>Tipo →</t>
        </is>
      </c>
      <c r="D3" s="23" t="inlineStr">
        <is>
          <t>microservicio</t>
        </is>
      </c>
    </row>
    <row r="4" ht="30" customHeight="1">
      <c r="A4" s="11" t="inlineStr">
        <is>
          <t>Regla</t>
        </is>
      </c>
      <c r="B4" s="11" t="inlineStr">
        <is>
          <t>Título</t>
        </is>
      </c>
      <c r="C4" s="11" t="inlineStr">
        <is>
          <t>Nivel</t>
        </is>
      </c>
      <c r="D4" s="11" t="inlineStr">
        <is>
          <t>vg-ms-certificate</t>
        </is>
      </c>
    </row>
    <row r="5">
      <c r="A5" s="12" t="inlineStr">
        <is>
          <t>SEC-001</t>
        </is>
      </c>
      <c r="B5" s="3" t="inlineStr">
        <is>
          <t>Proveedor de identidad</t>
        </is>
      </c>
      <c r="C5" s="24" t="inlineStr">
        <is>
          <t>DEBE</t>
        </is>
      </c>
      <c r="D5" s="25">
        <f>IFERROR(INDEX(Resultados!$H$2:$H$2000,MATCH(D$4&amp;"|"&amp;$A5,Resultados!$P$2:$P$2000,0)),"—")</f>
        <v/>
      </c>
    </row>
    <row r="6">
      <c r="A6" s="12" t="inlineStr">
        <is>
          <t>SEC-002</t>
        </is>
      </c>
      <c r="B6" s="3" t="inlineStr">
        <is>
          <t>Protocolo OIDC sobre OAuth 2.0</t>
        </is>
      </c>
      <c r="C6" s="24" t="inlineStr">
        <is>
          <t>DEBE</t>
        </is>
      </c>
      <c r="D6" s="25">
        <f>IFERROR(INDEX(Resultados!$H$2:$H$2000,MATCH(D$4&amp;"|"&amp;$A6,Resultados!$P$2:$P$2000,0)),"—")</f>
        <v/>
      </c>
    </row>
    <row r="7">
      <c r="A7" s="12" t="inlineStr">
        <is>
          <t>SEC-003</t>
        </is>
      </c>
      <c r="B7" s="3" t="inlineStr">
        <is>
          <t>Clientes de Keycloak por responsabilidad</t>
        </is>
      </c>
      <c r="C7" s="24" t="inlineStr">
        <is>
          <t>DEBE</t>
        </is>
      </c>
      <c r="D7" s="25">
        <f>IFERROR(INDEX(Resultados!$H$2:$H$2000,MATCH(D$4&amp;"|"&amp;$A7,Resultados!$P$2:$P$2000,0)),"—")</f>
        <v/>
      </c>
    </row>
    <row r="8">
      <c r="A8" s="12" t="inlineStr">
        <is>
          <t>SEC-004</t>
        </is>
      </c>
      <c r="B8" s="3" t="inlineStr">
        <is>
          <t>Validación de tokens JWT</t>
        </is>
      </c>
      <c r="C8" s="24" t="inlineStr">
        <is>
          <t>DEBE</t>
        </is>
      </c>
      <c r="D8" s="25">
        <f>IFERROR(INDEX(Resultados!$H$2:$H$2000,MATCH(D$4&amp;"|"&amp;$A8,Resultados!$P$2:$P$2000,0)),"—")</f>
        <v/>
      </c>
    </row>
    <row r="9">
      <c r="A9" s="12" t="inlineStr">
        <is>
          <t>SEC-005</t>
        </is>
      </c>
      <c r="B9" s="3" t="inlineStr">
        <is>
          <t>Autorización en backend</t>
        </is>
      </c>
      <c r="C9" s="24" t="inlineStr">
        <is>
          <t>DEBE</t>
        </is>
      </c>
      <c r="D9" s="25">
        <f>IFERROR(INDEX(Resultados!$H$2:$H$2000,MATCH(D$4&amp;"|"&amp;$A9,Resultados!$P$2:$P$2000,0)),"—")</f>
        <v/>
      </c>
    </row>
    <row r="10">
      <c r="A10" s="12" t="inlineStr">
        <is>
          <t>SEC-006</t>
        </is>
      </c>
      <c r="B10" s="3" t="inlineStr">
        <is>
          <t>Roles de negocio consistentes</t>
        </is>
      </c>
      <c r="C10" s="24" t="inlineStr">
        <is>
          <t>DEBERÍA</t>
        </is>
      </c>
      <c r="D10" s="25">
        <f>IFERROR(INDEX(Resultados!$H$2:$H$2000,MATCH(D$4&amp;"|"&amp;$A10,Resultados!$P$2:$P$2000,0)),"—")</f>
        <v/>
      </c>
    </row>
    <row r="11">
      <c r="A11" s="12" t="inlineStr">
        <is>
          <t>SEC-007</t>
        </is>
      </c>
      <c r="B11" s="3" t="inlineStr">
        <is>
          <t>Menor privilegio por endpoint</t>
        </is>
      </c>
      <c r="C11" s="24" t="inlineStr">
        <is>
          <t>DEBE</t>
        </is>
      </c>
      <c r="D11" s="25">
        <f>IFERROR(INDEX(Resultados!$H$2:$H$2000,MATCH(D$4&amp;"|"&amp;$A11,Resultados!$P$2:$P$2000,0)),"—")</f>
        <v/>
      </c>
    </row>
    <row r="12">
      <c r="A12" s="12" t="inlineStr">
        <is>
          <t>SEC-008</t>
        </is>
      </c>
      <c r="B12" s="3" t="inlineStr">
        <is>
          <t>Tenant derivado de la identidad autenticada</t>
        </is>
      </c>
      <c r="C12" s="24" t="inlineStr">
        <is>
          <t>DEBE</t>
        </is>
      </c>
      <c r="D12" s="25">
        <f>IFERROR(INDEX(Resultados!$H$2:$H$2000,MATCH(D$4&amp;"|"&amp;$A12,Resultados!$P$2:$P$2000,0)),"—")</f>
        <v/>
      </c>
    </row>
    <row r="13">
      <c r="A13" s="12" t="inlineStr">
        <is>
          <t>SEC-009</t>
        </is>
      </c>
      <c r="B13" s="3" t="inlineStr">
        <is>
          <t>Filtro obligatorio por tenant en datos</t>
        </is>
      </c>
      <c r="C13" s="24" t="inlineStr">
        <is>
          <t>DEBE</t>
        </is>
      </c>
      <c r="D13" s="25">
        <f>IFERROR(INDEX(Resultados!$H$2:$H$2000,MATCH(D$4&amp;"|"&amp;$A13,Resultados!$P$2:$P$2000,0)),"—")</f>
        <v/>
      </c>
    </row>
    <row r="14">
      <c r="A14" s="12" t="inlineStr">
        <is>
          <t>SEC-010</t>
        </is>
      </c>
      <c r="B14" s="3" t="inlineStr">
        <is>
          <t>Prevención de fuga de datos entre tenants</t>
        </is>
      </c>
      <c r="C14" s="24" t="inlineStr">
        <is>
          <t>DEBE</t>
        </is>
      </c>
      <c r="D14" s="25">
        <f>IFERROR(INDEX(Resultados!$H$2:$H$2000,MATCH(D$4&amp;"|"&amp;$A14,Resultados!$P$2:$P$2000,0)),"—")</f>
        <v/>
      </c>
    </row>
    <row r="15">
      <c r="A15" s="12" t="inlineStr">
        <is>
          <t>SEC-011</t>
        </is>
      </c>
      <c r="B15" s="3" t="inlineStr">
        <is>
          <t>Comunicación autenticada entre servicios</t>
        </is>
      </c>
      <c r="C15" s="24" t="inlineStr">
        <is>
          <t>DEBE</t>
        </is>
      </c>
      <c r="D15" s="25">
        <f>IFERROR(INDEX(Resultados!$H$2:$H$2000,MATCH(D$4&amp;"|"&amp;$A15,Resultados!$P$2:$P$2000,0)),"—")</f>
        <v/>
      </c>
    </row>
    <row r="16">
      <c r="A16" s="12" t="inlineStr">
        <is>
          <t>SEC-012</t>
        </is>
      </c>
      <c r="B16" s="3" t="inlineStr">
        <is>
          <t>Gateway como único punto de entrada público</t>
        </is>
      </c>
      <c r="C16" s="24" t="inlineStr">
        <is>
          <t>DEBERÍA</t>
        </is>
      </c>
      <c r="D16" s="25">
        <f>IFERROR(INDEX(Resultados!$H$2:$H$2000,MATCH(D$4&amp;"|"&amp;$A16,Resultados!$P$2:$P$2000,0)),"—")</f>
        <v/>
      </c>
    </row>
    <row r="17">
      <c r="A17" s="12" t="inlineStr">
        <is>
          <t>SEC-013</t>
        </is>
      </c>
      <c r="B17" s="3" t="inlineStr">
        <is>
          <t>CORS restringido por ambiente</t>
        </is>
      </c>
      <c r="C17" s="24" t="inlineStr">
        <is>
          <t>DEBE</t>
        </is>
      </c>
      <c r="D17" s="25">
        <f>IFERROR(INDEX(Resultados!$H$2:$H$2000,MATCH(D$4&amp;"|"&amp;$A17,Resultados!$P$2:$P$2000,0)),"—")</f>
        <v/>
      </c>
    </row>
    <row r="18">
      <c r="A18" s="12" t="inlineStr">
        <is>
          <t>SEC-014</t>
        </is>
      </c>
      <c r="B18" s="3" t="inlineStr">
        <is>
          <t>Gestión de secretos</t>
        </is>
      </c>
      <c r="C18" s="24" t="inlineStr">
        <is>
          <t>DEBE</t>
        </is>
      </c>
      <c r="D18" s="25">
        <f>IFERROR(INDEX(Resultados!$H$2:$H$2000,MATCH(D$4&amp;"|"&amp;$A18,Resultados!$P$2:$P$2000,0)),"—")</f>
        <v/>
      </c>
    </row>
    <row r="19">
      <c r="A19" s="12" t="inlineStr">
        <is>
          <t>SEC-015</t>
        </is>
      </c>
      <c r="B19" s="3" t="inlineStr">
        <is>
          <t>Transporte seguro (HTTPS/TLS)</t>
        </is>
      </c>
      <c r="C19" s="24" t="inlineStr">
        <is>
          <t>DEBE</t>
        </is>
      </c>
      <c r="D19" s="25">
        <f>IFERROR(INDEX(Resultados!$H$2:$H$2000,MATCH(D$4&amp;"|"&amp;$A19,Resultados!$P$2:$P$2000,0)),"—")</f>
        <v/>
      </c>
    </row>
    <row r="20">
      <c r="A20" s="12" t="inlineStr">
        <is>
          <t>SEC-016</t>
        </is>
      </c>
      <c r="B20" s="3" t="inlineStr">
        <is>
          <t>Validación de entrada</t>
        </is>
      </c>
      <c r="C20" s="24" t="inlineStr">
        <is>
          <t>DEBE</t>
        </is>
      </c>
      <c r="D20" s="25">
        <f>IFERROR(INDEX(Resultados!$H$2:$H$2000,MATCH(D$4&amp;"|"&amp;$A20,Resultados!$P$2:$P$2000,0)),"—")</f>
        <v/>
      </c>
    </row>
    <row r="21">
      <c r="A21" s="12" t="inlineStr">
        <is>
          <t>SEC-017</t>
        </is>
      </c>
      <c r="B21" s="3" t="inlineStr">
        <is>
          <t>Respuestas de error diferenciadas y seguras</t>
        </is>
      </c>
      <c r="C21" s="24" t="inlineStr">
        <is>
          <t>DEBE</t>
        </is>
      </c>
      <c r="D21" s="25">
        <f>IFERROR(INDEX(Resultados!$H$2:$H$2000,MATCH(D$4&amp;"|"&amp;$A21,Resultados!$P$2:$P$2000,0)),"—")</f>
        <v/>
      </c>
    </row>
    <row r="22">
      <c r="A22" s="12" t="inlineStr">
        <is>
          <t>SEC-018</t>
        </is>
      </c>
      <c r="B22" s="3" t="inlineStr">
        <is>
          <t>Logs seguros</t>
        </is>
      </c>
      <c r="C22" s="24" t="inlineStr">
        <is>
          <t>DEBE</t>
        </is>
      </c>
      <c r="D22" s="25">
        <f>IFERROR(INDEX(Resultados!$H$2:$H$2000,MATCH(D$4&amp;"|"&amp;$A22,Resultados!$P$2:$P$2000,0)),"—")</f>
        <v/>
      </c>
    </row>
    <row r="23">
      <c r="A23" s="12" t="inlineStr">
        <is>
          <t>SEC-019</t>
        </is>
      </c>
      <c r="B23" s="3" t="inlineStr">
        <is>
          <t>Auditoría de operaciones sensibles</t>
        </is>
      </c>
      <c r="C23" s="24" t="inlineStr">
        <is>
          <t>DEBE</t>
        </is>
      </c>
      <c r="D23" s="25">
        <f>IFERROR(INDEX(Resultados!$H$2:$H$2000,MATCH(D$4&amp;"|"&amp;$A23,Resultados!$P$2:$P$2000,0)),"—")</f>
        <v/>
      </c>
    </row>
    <row r="24">
      <c r="A24" s="12" t="inlineStr">
        <is>
          <t>SEC-020</t>
        </is>
      </c>
      <c r="B24" s="3" t="inlineStr">
        <is>
          <t>Control de pertenencia sobre recursos</t>
        </is>
      </c>
      <c r="C24" s="24" t="inlineStr">
        <is>
          <t>DEBE</t>
        </is>
      </c>
      <c r="D24" s="25">
        <f>IFERROR(INDEX(Resultados!$H$2:$H$2000,MATCH(D$4&amp;"|"&amp;$A24,Resultados!$P$2:$P$2000,0)),"—")</f>
        <v/>
      </c>
    </row>
    <row r="25">
      <c r="A25" s="12" t="inlineStr">
        <is>
          <t>SEC-021</t>
        </is>
      </c>
      <c r="B25" s="3" t="inlineStr">
        <is>
          <t>Integridad de contexto</t>
        </is>
      </c>
      <c r="C25" s="24" t="inlineStr">
        <is>
          <t>DEBE</t>
        </is>
      </c>
      <c r="D25" s="25">
        <f>IFERROR(INDEX(Resultados!$H$2:$H$2000,MATCH(D$4&amp;"|"&amp;$A25,Resultados!$P$2:$P$2000,0)),"—")</f>
        <v/>
      </c>
    </row>
    <row r="26">
      <c r="A26" s="12" t="inlineStr">
        <is>
          <t>SEC-022</t>
        </is>
      </c>
      <c r="B26" s="3" t="inlineStr">
        <is>
          <t>Idempotencia y control de concurrencia</t>
        </is>
      </c>
      <c r="C26" s="24" t="inlineStr">
        <is>
          <t>DEBERÍA</t>
        </is>
      </c>
      <c r="D26" s="25">
        <f>IFERROR(INDEX(Resultados!$H$2:$H$2000,MATCH(D$4&amp;"|"&amp;$A26,Resultados!$P$2:$P$2000,0)),"—")</f>
        <v/>
      </c>
    </row>
  </sheetData>
  <conditionalFormatting sqref="D5:D26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32" customWidth="1" min="4" max="4"/>
    <col width="26" customWidth="1" min="5" max="5"/>
    <col width="10" customWidth="1" min="6" max="6"/>
    <col width="11" customWidth="1" min="7" max="7"/>
    <col width="25" customWidth="1" min="8" max="8"/>
    <col width="11" customWidth="1" min="9" max="9"/>
    <col width="9" customWidth="1" min="10" max="10"/>
    <col width="55" customWidth="1" min="11" max="11"/>
    <col width="45" customWidth="1" min="12" max="12"/>
    <col width="45" customWidth="1" min="13" max="13"/>
    <col width="18" customWidth="1" min="14" max="14"/>
    <col width="15" customWidth="1" min="15" max="15"/>
    <col width="30" customWidth="1" min="16" max="16"/>
  </cols>
  <sheetData>
    <row r="1" ht="32" customHeight="1">
      <c r="A1" s="11" t="inlineStr">
        <is>
          <t>Componente</t>
        </is>
      </c>
      <c r="B1" s="11" t="inlineStr">
        <is>
          <t>Tipo</t>
        </is>
      </c>
      <c r="C1" s="11" t="inlineStr">
        <is>
          <t>Regla</t>
        </is>
      </c>
      <c r="D1" s="11" t="inlineStr">
        <is>
          <t>Título de la regla</t>
        </is>
      </c>
      <c r="E1" s="11" t="inlineStr">
        <is>
          <t>Categoría</t>
        </is>
      </c>
      <c r="F1" s="11" t="inlineStr">
        <is>
          <t>Nivel</t>
        </is>
      </c>
      <c r="G1" s="11" t="inlineStr">
        <is>
          <t>Método</t>
        </is>
      </c>
      <c r="H1" s="11" t="inlineStr">
        <is>
          <t>Estado</t>
        </is>
      </c>
      <c r="I1" s="11" t="inlineStr">
        <is>
          <t>Severidad</t>
        </is>
      </c>
      <c r="J1" s="11" t="inlineStr">
        <is>
          <t>Puntaje</t>
        </is>
      </c>
      <c r="K1" s="11" t="inlineStr">
        <is>
          <t>Evidencia (archivo:línea — detalle)</t>
        </is>
      </c>
      <c r="L1" s="11" t="inlineStr">
        <is>
          <t>Observación</t>
        </is>
      </c>
      <c r="M1" s="11" t="inlineStr">
        <is>
          <t>Recomendación</t>
        </is>
      </c>
      <c r="N1" s="11" t="inlineStr">
        <is>
          <t>Responsable</t>
        </is>
      </c>
      <c r="O1" s="11" t="inlineStr">
        <is>
          <t>Fecha compromiso</t>
        </is>
      </c>
      <c r="P1" s="11" t="inlineStr">
        <is>
          <t>Clave auxiliar</t>
        </is>
      </c>
    </row>
    <row r="2">
      <c r="A2" s="7" t="inlineStr">
        <is>
          <t>vg-ms-certificate</t>
        </is>
      </c>
      <c r="B2" s="7" t="inlineStr">
        <is>
          <t>microservicio</t>
        </is>
      </c>
      <c r="C2" s="7" t="inlineStr">
        <is>
          <t>SEC-001</t>
        </is>
      </c>
      <c r="D2" s="3" t="inlineStr">
        <is>
          <t>Proveedor de identidad</t>
        </is>
      </c>
      <c r="E2" s="3" t="inlineStr">
        <is>
          <t>Identidad y autenticación</t>
        </is>
      </c>
      <c r="F2" s="7" t="inlineStr">
        <is>
          <t>DEBE</t>
        </is>
      </c>
      <c r="G2" s="7" t="inlineStr">
        <is>
          <t>Mixto</t>
        </is>
      </c>
      <c r="H2" s="12" t="inlineStr">
        <is>
          <t>CUMPLE</t>
        </is>
      </c>
      <c r="I2" s="7" t="inlineStr"/>
      <c r="J2" s="26">
        <f>IFERROR(IF(ISNUMBER(VLOOKUP(H2,Leyenda!$A$5:$C$10,3,FALSE)),VLOOKUP(H2,Leyenda!$A$5:$C$10,3,FALSE),""),"")</f>
        <v/>
      </c>
      <c r="K2" s="3" t="inlineStr">
        <is>
          <t>src/main/resources/application.yml:48 — El issuer de Keycloak llega por variable de entorno.
src/main/resources/application.yml:49 — Las claves públicas se leen del JWKS.</t>
        </is>
      </c>
      <c r="L2" s="3" t="inlineStr">
        <is>
          <t>Keycloak es el único proveedor; cada ambiente define su realm por variable de entorno.</t>
        </is>
      </c>
      <c r="M2" s="3" t="inlineStr"/>
      <c r="N2" s="27" t="inlineStr"/>
      <c r="O2" s="28" t="n"/>
      <c r="P2" s="29">
        <f>A2&amp;"|"&amp;C2</f>
        <v/>
      </c>
    </row>
    <row r="3">
      <c r="A3" s="7" t="inlineStr">
        <is>
          <t>vg-ms-certificate</t>
        </is>
      </c>
      <c r="B3" s="7" t="inlineStr">
        <is>
          <t>microservicio</t>
        </is>
      </c>
      <c r="C3" s="7" t="inlineStr">
        <is>
          <t>SEC-002</t>
        </is>
      </c>
      <c r="D3" s="3" t="inlineStr">
        <is>
          <t>Protocolo OIDC sobre OAuth 2.0</t>
        </is>
      </c>
      <c r="E3" s="3" t="inlineStr">
        <is>
          <t>Identidad y autenticación</t>
        </is>
      </c>
      <c r="F3" s="7" t="inlineStr">
        <is>
          <t>DEBE</t>
        </is>
      </c>
      <c r="G3" s="7" t="inlineStr">
        <is>
          <t>Estático</t>
        </is>
      </c>
      <c r="H3" s="12" t="inlineStr">
        <is>
          <t>CUMPLE</t>
        </is>
      </c>
      <c r="I3" s="7" t="inlineStr"/>
      <c r="J3" s="26">
        <f>IFERROR(IF(ISNUMBER(VLOOKUP(H3,Leyenda!$A$5:$C$10,3,FALSE)),VLOOKUP(H3,Leyenda!$A$5:$C$10,3,FALSE),""),"")</f>
        <v/>
      </c>
      <c r="K3" s="3" t="inlineStr">
        <is>
          <t>src/main/java/pe/edu/vallegrande/fideinexus/certificate/infrastructure/config/SecurityConfig.java:48 — Resource server OAuth 2.0 con JWT de Keycloak.</t>
        </is>
      </c>
      <c r="L3" s="3" t="inlineStr">
        <is>
          <t>Los tokens son JWT emitidos por Keycloak con OIDC.</t>
        </is>
      </c>
      <c r="M3" s="3" t="inlineStr"/>
      <c r="N3" s="27" t="inlineStr"/>
      <c r="O3" s="28" t="n"/>
      <c r="P3" s="29">
        <f>A3&amp;"|"&amp;C3</f>
        <v/>
      </c>
    </row>
    <row r="4">
      <c r="A4" s="7" t="inlineStr">
        <is>
          <t>vg-ms-certificate</t>
        </is>
      </c>
      <c r="B4" s="7" t="inlineStr">
        <is>
          <t>microservicio</t>
        </is>
      </c>
      <c r="C4" s="7" t="inlineStr">
        <is>
          <t>SEC-003</t>
        </is>
      </c>
      <c r="D4" s="3" t="inlineStr">
        <is>
          <t>Clientes de Keycloak por responsabilidad</t>
        </is>
      </c>
      <c r="E4" s="3" t="inlineStr">
        <is>
          <t>Identidad y autenticación</t>
        </is>
      </c>
      <c r="F4" s="7" t="inlineStr">
        <is>
          <t>DEBE</t>
        </is>
      </c>
      <c r="G4" s="7" t="inlineStr">
        <is>
          <t>Manual</t>
        </is>
      </c>
      <c r="H4" s="12" t="inlineStr">
        <is>
          <t>PARCIAL</t>
        </is>
      </c>
      <c r="I4" s="7" t="inlineStr">
        <is>
          <t>Alta</t>
        </is>
      </c>
      <c r="J4" s="26">
        <f>IFERROR(IF(ISNUMBER(VLOOKUP(H4,Leyenda!$A$5:$C$10,3,FALSE)),VLOOKUP(H4,Leyenda!$A$5:$C$10,3,FALSE),""),"")</f>
        <v/>
      </c>
      <c r="K4" s="3" t="inlineStr">
        <is>
          <t>docs/keycloak/prs-realm-export.json:858 — prs-frontend y fideiNexus aceptan cualquier redirect URI.
docs/keycloak/prs-realm-export.json:920 — Cliente propio para Postman, público y separado del frontend.</t>
        </is>
      </c>
      <c r="L4" s="3" t="inlineStr">
        <is>
          <t>Revisión manual del 2026-10-22: Los clientes están separados por aplicación y prs-postman cumple: público, Authorization Code con PKCE S256, sin Direct Access Grants y con redirect exacto. prs-frontend y fideiNexus mantienen Direct Access Grants porque la web inicia sesión con contraseña, y aceptan cualquier redirect URI.</t>
        </is>
      </c>
      <c r="M4" s="3" t="inlineStr">
        <is>
          <t>Restringir Valid redirect URIs y Web origins de prs-frontend y fideiNexus al dominio real de la web, y migrar el login de la web a Authorization Code con PKCE para apagar Direct Access Grants.</t>
        </is>
      </c>
      <c r="N4" s="27" t="inlineStr"/>
      <c r="O4" s="28" t="n"/>
      <c r="P4" s="29">
        <f>A4&amp;"|"&amp;C4</f>
        <v/>
      </c>
    </row>
    <row r="5">
      <c r="A5" s="7" t="inlineStr">
        <is>
          <t>vg-ms-certificate</t>
        </is>
      </c>
      <c r="B5" s="7" t="inlineStr">
        <is>
          <t>microservicio</t>
        </is>
      </c>
      <c r="C5" s="7" t="inlineStr">
        <is>
          <t>SEC-004</t>
        </is>
      </c>
      <c r="D5" s="3" t="inlineStr">
        <is>
          <t>Validación de tokens JWT</t>
        </is>
      </c>
      <c r="E5" s="3" t="inlineStr">
        <is>
          <t>Identidad y autenticación</t>
        </is>
      </c>
      <c r="F5" s="7" t="inlineStr">
        <is>
          <t>DEBE</t>
        </is>
      </c>
      <c r="G5" s="7" t="inlineStr">
        <is>
          <t>Mixto</t>
        </is>
      </c>
      <c r="H5" s="12" t="inlineStr">
        <is>
          <t>CUMPLE</t>
        </is>
      </c>
      <c r="I5" s="7" t="inlineStr"/>
      <c r="J5" s="26">
        <f>IFERROR(IF(ISNUMBER(VLOOKUP(H5,Leyenda!$A$5:$C$10,3,FALSE)),VLOOKUP(H5,Leyenda!$A$5:$C$10,3,FALSE),""),"")</f>
        <v/>
      </c>
      <c r="K5" s="3" t="inlineStr">
        <is>
          <t>src/main/java/pe/edu/vallegrande/fideinexus/certificate/infrastructure/config/SecurityConfig.java:48 — Valida firma con el JWKS.
src/main/java/pe/edu/vallegrande/fideinexus/certificate/infrastructure/config/SecurityConfig.java:13 — Valida issuer, vigencia y datos del token.</t>
        </is>
      </c>
      <c r="L5" s="3" t="inlineStr">
        <is>
          <t>Firma, issuer y vencimiento se validan en cada petición.</t>
        </is>
      </c>
      <c r="M5" s="3" t="inlineStr"/>
      <c r="N5" s="27" t="inlineStr"/>
      <c r="O5" s="28" t="n"/>
      <c r="P5" s="29">
        <f>A5&amp;"|"&amp;C5</f>
        <v/>
      </c>
    </row>
    <row r="6">
      <c r="A6" s="7" t="inlineStr">
        <is>
          <t>vg-ms-certificate</t>
        </is>
      </c>
      <c r="B6" s="7" t="inlineStr">
        <is>
          <t>microservicio</t>
        </is>
      </c>
      <c r="C6" s="7" t="inlineStr">
        <is>
          <t>SEC-005</t>
        </is>
      </c>
      <c r="D6" s="3" t="inlineStr">
        <is>
          <t>Autorización en backend</t>
        </is>
      </c>
      <c r="E6" s="3" t="inlineStr">
        <is>
          <t>Autorización y roles</t>
        </is>
      </c>
      <c r="F6" s="7" t="inlineStr">
        <is>
          <t>DEBE</t>
        </is>
      </c>
      <c r="G6" s="7" t="inlineStr">
        <is>
          <t>Estático</t>
        </is>
      </c>
      <c r="H6" s="12" t="inlineStr">
        <is>
          <t>CUMPLE</t>
        </is>
      </c>
      <c r="I6" s="7" t="inlineStr"/>
      <c r="J6" s="26">
        <f>IFERROR(IF(ISNUMBER(VLOOKUP(H6,Leyenda!$A$5:$C$10,3,FALSE)),VLOOKUP(H6,Leyenda!$A$5:$C$10,3,FALSE),""),"")</f>
        <v/>
      </c>
      <c r="K6" s="3" t="inlineStr">
        <is>
          <t>src/main/java/pe/edu/vallegrande/fideinexus/certificate/infrastructure/config/SecurityConfig.java:44 — Todo lo no público exige autenticación.
src/main/java/pe/edu/vallegrande/fideinexus/certificate/infrastructure/adapter/in/rest/controller/CertificateRest.java:78 — Los roles se comprueban en el backend.</t>
        </is>
      </c>
      <c r="L6" s="3" t="inlineStr">
        <is>
          <t>La autorización se decide en el servicio, no en el front.</t>
        </is>
      </c>
      <c r="M6" s="3" t="inlineStr"/>
      <c r="N6" s="27" t="inlineStr"/>
      <c r="O6" s="28" t="n"/>
      <c r="P6" s="29">
        <f>A6&amp;"|"&amp;C6</f>
        <v/>
      </c>
    </row>
    <row r="7">
      <c r="A7" s="7" t="inlineStr">
        <is>
          <t>vg-ms-certificate</t>
        </is>
      </c>
      <c r="B7" s="7" t="inlineStr">
        <is>
          <t>microservicio</t>
        </is>
      </c>
      <c r="C7" s="7" t="inlineStr">
        <is>
          <t>SEC-006</t>
        </is>
      </c>
      <c r="D7" s="3" t="inlineStr">
        <is>
          <t>Roles de negocio consistentes</t>
        </is>
      </c>
      <c r="E7" s="3" t="inlineStr">
        <is>
          <t>Autorización y roles</t>
        </is>
      </c>
      <c r="F7" s="7" t="inlineStr">
        <is>
          <t>DEBERÍA</t>
        </is>
      </c>
      <c r="G7" s="7" t="inlineStr">
        <is>
          <t>Estático</t>
        </is>
      </c>
      <c r="H7" s="12" t="inlineStr">
        <is>
          <t>CUMPLE</t>
        </is>
      </c>
      <c r="I7" s="7" t="inlineStr"/>
      <c r="J7" s="26">
        <f>IFERROR(IF(ISNUMBER(VLOOKUP(H7,Leyenda!$A$5:$C$10,3,FALSE)),VLOOKUP(H7,Leyenda!$A$5:$C$10,3,FALSE),""),"")</f>
        <v/>
      </c>
      <c r="K7" s="3" t="inlineStr">
        <is>
          <t>src/main/java/pe/edu/vallegrande/fideinexus/certificate/infrastructure/security/KeycloakRoleConverter.java:15 — Roles: FELIGRES, PARROCO, SECRETARIO, SUPERADMIN.</t>
        </is>
      </c>
      <c r="L7" s="3" t="inlineStr">
        <is>
          <t>Los roles coinciden con el catálogo del PRS.</t>
        </is>
      </c>
      <c r="M7" s="3" t="inlineStr"/>
      <c r="N7" s="27" t="inlineStr"/>
      <c r="O7" s="28" t="n"/>
      <c r="P7" s="29">
        <f>A7&amp;"|"&amp;C7</f>
        <v/>
      </c>
    </row>
    <row r="8">
      <c r="A8" s="7" t="inlineStr">
        <is>
          <t>vg-ms-certificate</t>
        </is>
      </c>
      <c r="B8" s="7" t="inlineStr">
        <is>
          <t>microservicio</t>
        </is>
      </c>
      <c r="C8" s="7" t="inlineStr">
        <is>
          <t>SEC-007</t>
        </is>
      </c>
      <c r="D8" s="3" t="inlineStr">
        <is>
          <t>Menor privilegio por endpoint</t>
        </is>
      </c>
      <c r="E8" s="3" t="inlineStr">
        <is>
          <t>Autorización y roles</t>
        </is>
      </c>
      <c r="F8" s="7" t="inlineStr">
        <is>
          <t>DEBE</t>
        </is>
      </c>
      <c r="G8" s="7" t="inlineStr">
        <is>
          <t>Estático</t>
        </is>
      </c>
      <c r="H8" s="12" t="inlineStr">
        <is>
          <t>CUMPLE</t>
        </is>
      </c>
      <c r="I8" s="7" t="inlineStr"/>
      <c r="J8" s="26">
        <f>IFERROR(IF(ISNUMBER(VLOOKUP(H8,Leyenda!$A$5:$C$10,3,FALSE)),VLOOKUP(H8,Leyenda!$A$5:$C$10,3,FALSE),""),"")</f>
        <v/>
      </c>
      <c r="K8" s="3" t="inlineStr">
        <is>
          <t>src/main/java/pe/edu/vallegrande/fideinexus/certificate/infrastructure/config/SecurityConfig.java:43 — Solo las rutas públicas quedan abiertas.
src/main/java/pe/edu/vallegrande/fideinexus/certificate/infrastructure/config/SecurityConfig.java:44 — El resto exige token.</t>
        </is>
      </c>
      <c r="L8" s="3" t="inlineStr">
        <is>
          <t>Cada endpoint pide el mínimo necesario.</t>
        </is>
      </c>
      <c r="M8" s="3" t="inlineStr"/>
      <c r="N8" s="27" t="inlineStr"/>
      <c r="O8" s="28" t="n"/>
      <c r="P8" s="29">
        <f>A8&amp;"|"&amp;C8</f>
        <v/>
      </c>
    </row>
    <row r="9">
      <c r="A9" s="7" t="inlineStr">
        <is>
          <t>vg-ms-certificate</t>
        </is>
      </c>
      <c r="B9" s="7" t="inlineStr">
        <is>
          <t>microservicio</t>
        </is>
      </c>
      <c r="C9" s="7" t="inlineStr">
        <is>
          <t>SEC-008</t>
        </is>
      </c>
      <c r="D9" s="3" t="inlineStr">
        <is>
          <t>Tenant derivado de la identidad autenticada</t>
        </is>
      </c>
      <c r="E9" s="3" t="inlineStr">
        <is>
          <t>Aislamiento multi-tenant</t>
        </is>
      </c>
      <c r="F9" s="7" t="inlineStr">
        <is>
          <t>DEBE</t>
        </is>
      </c>
      <c r="G9" s="7" t="inlineStr">
        <is>
          <t>Estático</t>
        </is>
      </c>
      <c r="H9" s="12" t="inlineStr">
        <is>
          <t>CUMPLE</t>
        </is>
      </c>
      <c r="I9" s="7" t="inlineStr"/>
      <c r="J9" s="26">
        <f>IFERROR(IF(ISNUMBER(VLOOKUP(H9,Leyenda!$A$5:$C$10,3,FALSE)),VLOOKUP(H9,Leyenda!$A$5:$C$10,3,FALSE),""),"")</f>
        <v/>
      </c>
      <c r="K9" s="3" t="inlineStr">
        <is>
          <t>src/main/java/pe/edu/vallegrande/fideinexus/certificate/infrastructure/adapter/out/client/security/JwtSecurityContextClientAdapter.java:44 — El tenant sale del token.</t>
        </is>
      </c>
      <c r="L9" s="3" t="inlineStr">
        <is>
          <t>El tenant se toma del JWT; el cliente no lo elige.</t>
        </is>
      </c>
      <c r="M9" s="3" t="inlineStr"/>
      <c r="N9" s="27" t="inlineStr"/>
      <c r="O9" s="28" t="n"/>
      <c r="P9" s="29">
        <f>A9&amp;"|"&amp;C9</f>
        <v/>
      </c>
    </row>
    <row r="10">
      <c r="A10" s="7" t="inlineStr">
        <is>
          <t>vg-ms-certificate</t>
        </is>
      </c>
      <c r="B10" s="7" t="inlineStr">
        <is>
          <t>microservicio</t>
        </is>
      </c>
      <c r="C10" s="7" t="inlineStr">
        <is>
          <t>SEC-009</t>
        </is>
      </c>
      <c r="D10" s="3" t="inlineStr">
        <is>
          <t>Filtro obligatorio por tenant en datos</t>
        </is>
      </c>
      <c r="E10" s="3" t="inlineStr">
        <is>
          <t>Aislamiento multi-tenant</t>
        </is>
      </c>
      <c r="F10" s="7" t="inlineStr">
        <is>
          <t>DEBE</t>
        </is>
      </c>
      <c r="G10" s="7" t="inlineStr">
        <is>
          <t>Estático</t>
        </is>
      </c>
      <c r="H10" s="12" t="inlineStr">
        <is>
          <t>CUMPLE</t>
        </is>
      </c>
      <c r="I10" s="7" t="inlineStr"/>
      <c r="J10" s="26">
        <f>IFERROR(IF(ISNUMBER(VLOOKUP(H10,Leyenda!$A$5:$C$10,3,FALSE)),VLOOKUP(H10,Leyenda!$A$5:$C$10,3,FALSE),""),"")</f>
        <v/>
      </c>
      <c r="K10" s="3" t="inlineStr">
        <is>
          <t>src/main/java/pe/edu/vallegrande/fideinexus/certificate/domain/port/out/CertificateRepositoryPort.java:13 — Las consultas filtran por tenant.</t>
        </is>
      </c>
      <c r="L10" s="3" t="inlineStr">
        <is>
          <t>Toda consulta incluye el tenant.</t>
        </is>
      </c>
      <c r="M10" s="3" t="inlineStr"/>
      <c r="N10" s="27" t="inlineStr"/>
      <c r="O10" s="28" t="n"/>
      <c r="P10" s="29">
        <f>A10&amp;"|"&amp;C10</f>
        <v/>
      </c>
    </row>
    <row r="11">
      <c r="A11" s="7" t="inlineStr">
        <is>
          <t>vg-ms-certificate</t>
        </is>
      </c>
      <c r="B11" s="7" t="inlineStr">
        <is>
          <t>microservicio</t>
        </is>
      </c>
      <c r="C11" s="7" t="inlineStr">
        <is>
          <t>SEC-010</t>
        </is>
      </c>
      <c r="D11" s="3" t="inlineStr">
        <is>
          <t>Prevención de fuga de datos entre tenants</t>
        </is>
      </c>
      <c r="E11" s="3" t="inlineStr">
        <is>
          <t>Aislamiento multi-tenant</t>
        </is>
      </c>
      <c r="F11" s="7" t="inlineStr">
        <is>
          <t>DEBE</t>
        </is>
      </c>
      <c r="G11" s="7" t="inlineStr">
        <is>
          <t>Estático</t>
        </is>
      </c>
      <c r="H11" s="12" t="inlineStr">
        <is>
          <t>CUMPLE</t>
        </is>
      </c>
      <c r="I11" s="7" t="inlineStr"/>
      <c r="J11" s="26">
        <f>IFERROR(IF(ISNUMBER(VLOOKUP(H11,Leyenda!$A$5:$C$10,3,FALSE)),VLOOKUP(H11,Leyenda!$A$5:$C$10,3,FALSE),""),"")</f>
        <v/>
      </c>
      <c r="K11" s="3" t="inlineStr">
        <is>
          <t>src/main/java/pe/edu/vallegrande/fideinexus/certificate/domain/exception/TenantAccessException.java:4 — Se comprueba la parroquia antes de devolver datos.
src/test/java/pe/edu/vallegrande/fideinexus/certificate/application/usecase/CertificateServiceTest.java:173 — Prueba de acceso desde otra parroquia.</t>
        </is>
      </c>
      <c r="L11" s="3" t="inlineStr">
        <is>
          <t>Una parroquia no ve ni cambia datos de otra.</t>
        </is>
      </c>
      <c r="M11" s="3" t="inlineStr"/>
      <c r="N11" s="27" t="inlineStr"/>
      <c r="O11" s="28" t="n"/>
      <c r="P11" s="29">
        <f>A11&amp;"|"&amp;C11</f>
        <v/>
      </c>
    </row>
    <row r="12">
      <c r="A12" s="7" t="inlineStr">
        <is>
          <t>vg-ms-certificate</t>
        </is>
      </c>
      <c r="B12" s="7" t="inlineStr">
        <is>
          <t>microservicio</t>
        </is>
      </c>
      <c r="C12" s="7" t="inlineStr">
        <is>
          <t>SEC-011</t>
        </is>
      </c>
      <c r="D12" s="3" t="inlineStr">
        <is>
          <t>Comunicación autenticada entre servicios</t>
        </is>
      </c>
      <c r="E12" s="3" t="inlineStr">
        <is>
          <t>Seguridad entre microservicios</t>
        </is>
      </c>
      <c r="F12" s="7" t="inlineStr">
        <is>
          <t>DEBE</t>
        </is>
      </c>
      <c r="G12" s="7" t="inlineStr">
        <is>
          <t>Estático</t>
        </is>
      </c>
      <c r="H12" s="12" t="inlineStr">
        <is>
          <t>NO_APLICA</t>
        </is>
      </c>
      <c r="I12" s="7" t="inlineStr"/>
      <c r="J12" s="26">
        <f>IFERROR(IF(ISNUMBER(VLOOKUP(H12,Leyenda!$A$5:$C$10,3,FALSE)),VLOOKUP(H12,Leyenda!$A$5:$C$10,3,FALSE),""),"")</f>
        <v/>
      </c>
      <c r="K12" s="3" t="inlineStr"/>
      <c r="L12" s="3" t="inlineStr">
        <is>
          <t>El servicio no llama a otros microservicios.</t>
        </is>
      </c>
      <c r="M12" s="3" t="inlineStr"/>
      <c r="N12" s="27" t="inlineStr"/>
      <c r="O12" s="28" t="n"/>
      <c r="P12" s="29">
        <f>A12&amp;"|"&amp;C12</f>
        <v/>
      </c>
    </row>
    <row r="13">
      <c r="A13" s="7" t="inlineStr">
        <is>
          <t>vg-ms-certificate</t>
        </is>
      </c>
      <c r="B13" s="7" t="inlineStr">
        <is>
          <t>microservicio</t>
        </is>
      </c>
      <c r="C13" s="7" t="inlineStr">
        <is>
          <t>SEC-012</t>
        </is>
      </c>
      <c r="D13" s="3" t="inlineStr">
        <is>
          <t>Gateway como único punto de entrada público</t>
        </is>
      </c>
      <c r="E13" s="3" t="inlineStr">
        <is>
          <t>Seguridad entre microservicios</t>
        </is>
      </c>
      <c r="F13" s="7" t="inlineStr">
        <is>
          <t>DEBERÍA</t>
        </is>
      </c>
      <c r="G13" s="7" t="inlineStr">
        <is>
          <t>Manual</t>
        </is>
      </c>
      <c r="H13" s="12" t="inlineStr">
        <is>
          <t>CUMPLE</t>
        </is>
      </c>
      <c r="I13" s="7" t="inlineStr"/>
      <c r="J13" s="26">
        <f>IFERROR(IF(ISNUMBER(VLOOKUP(H13,Leyenda!$A$5:$C$10,3,FALSE)),VLOOKUP(H13,Leyenda!$A$5:$C$10,3,FALSE),""),"")</f>
        <v/>
      </c>
      <c r="K13" s="3" t="inlineStr">
        <is>
          <t>PRS-GATEWAY/docker-compose.dokploy.yml:279 — El servicio no publica puertos al host; solo el gateway.
PRS-GATEWAY/vg-ms-gateway/src/main/resources/application-prod.yml:27 — El gateway enruta solo la API; swagger y actuator no tienen ruta pública.</t>
        </is>
      </c>
      <c r="L13" s="3" t="inlineStr">
        <is>
          <t>Revisión manual del 2026-10-22: La evidencia está en PRS-GATEWAY, fuera del repositorio del servicio.</t>
        </is>
      </c>
      <c r="M13" s="3" t="inlineStr"/>
      <c r="N13" s="27" t="inlineStr"/>
      <c r="O13" s="28" t="n"/>
      <c r="P13" s="29">
        <f>A13&amp;"|"&amp;C13</f>
        <v/>
      </c>
    </row>
    <row r="14">
      <c r="A14" s="7" t="inlineStr">
        <is>
          <t>vg-ms-certificate</t>
        </is>
      </c>
      <c r="B14" s="7" t="inlineStr">
        <is>
          <t>microservicio</t>
        </is>
      </c>
      <c r="C14" s="7" t="inlineStr">
        <is>
          <t>SEC-013</t>
        </is>
      </c>
      <c r="D14" s="3" t="inlineStr">
        <is>
          <t>CORS restringido por ambiente</t>
        </is>
      </c>
      <c r="E14" s="3" t="inlineStr">
        <is>
          <t>Seguridad entre microservicios</t>
        </is>
      </c>
      <c r="F14" s="7" t="inlineStr">
        <is>
          <t>DEBE</t>
        </is>
      </c>
      <c r="G14" s="7" t="inlineStr">
        <is>
          <t>Estático</t>
        </is>
      </c>
      <c r="H14" s="12" t="inlineStr">
        <is>
          <t>CUMPLE</t>
        </is>
      </c>
      <c r="I14" s="7" t="inlineStr"/>
      <c r="J14" s="26">
        <f>IFERROR(IF(ISNUMBER(VLOOKUP(H14,Leyenda!$A$5:$C$10,3,FALSE)),VLOOKUP(H14,Leyenda!$A$5:$C$10,3,FALSE),""),"")</f>
        <v/>
      </c>
      <c r="K14" s="3" t="inlineStr">
        <is>
          <t>src/main/resources/application.yml:62 — Orígenes permitidos por variable de entorno.</t>
        </is>
      </c>
      <c r="L14" s="3" t="inlineStr">
        <is>
          <t>Cada ambiente define sus orígenes; no hay comodín.</t>
        </is>
      </c>
      <c r="M14" s="3" t="inlineStr"/>
      <c r="N14" s="27" t="inlineStr"/>
      <c r="O14" s="28" t="n"/>
      <c r="P14" s="29">
        <f>A14&amp;"|"&amp;C14</f>
        <v/>
      </c>
    </row>
    <row r="15">
      <c r="A15" s="7" t="inlineStr">
        <is>
          <t>vg-ms-certificate</t>
        </is>
      </c>
      <c r="B15" s="7" t="inlineStr">
        <is>
          <t>microservicio</t>
        </is>
      </c>
      <c r="C15" s="7" t="inlineStr">
        <is>
          <t>SEC-014</t>
        </is>
      </c>
      <c r="D15" s="3" t="inlineStr">
        <is>
          <t>Gestión de secretos</t>
        </is>
      </c>
      <c r="E15" s="3" t="inlineStr">
        <is>
          <t>Datos, secretos y configuración</t>
        </is>
      </c>
      <c r="F15" s="7" t="inlineStr">
        <is>
          <t>DEBE</t>
        </is>
      </c>
      <c r="G15" s="7" t="inlineStr">
        <is>
          <t>Estático</t>
        </is>
      </c>
      <c r="H15" s="12" t="inlineStr">
        <is>
          <t>CUMPLE</t>
        </is>
      </c>
      <c r="I15" s="7" t="inlineStr"/>
      <c r="J15" s="26">
        <f>IFERROR(IF(ISNUMBER(VLOOKUP(H15,Leyenda!$A$5:$C$10,3,FALSE)),VLOOKUP(H15,Leyenda!$A$5:$C$10,3,FALSE),""),"")</f>
        <v/>
      </c>
      <c r="K15" s="3" t="inlineStr">
        <is>
          <t>.gitignore:6 — .env está ignorado por git.</t>
        </is>
      </c>
      <c r="L15" s="3" t="inlineStr">
        <is>
          <t>Los secretos viven en variables de entorno; .env no se versiona.</t>
        </is>
      </c>
      <c r="M15" s="3" t="inlineStr"/>
      <c r="N15" s="27" t="inlineStr"/>
      <c r="O15" s="28" t="n"/>
      <c r="P15" s="29">
        <f>A15&amp;"|"&amp;C15</f>
        <v/>
      </c>
    </row>
    <row r="16">
      <c r="A16" s="7" t="inlineStr">
        <is>
          <t>vg-ms-certificate</t>
        </is>
      </c>
      <c r="B16" s="7" t="inlineStr">
        <is>
          <t>microservicio</t>
        </is>
      </c>
      <c r="C16" s="7" t="inlineStr">
        <is>
          <t>SEC-015</t>
        </is>
      </c>
      <c r="D16" s="3" t="inlineStr">
        <is>
          <t>Transporte seguro (HTTPS/TLS)</t>
        </is>
      </c>
      <c r="E16" s="3" t="inlineStr">
        <is>
          <t>Datos, secretos y configuración</t>
        </is>
      </c>
      <c r="F16" s="7" t="inlineStr">
        <is>
          <t>DEBE</t>
        </is>
      </c>
      <c r="G16" s="7" t="inlineStr">
        <is>
          <t>Mixto</t>
        </is>
      </c>
      <c r="H16" s="12" t="inlineStr">
        <is>
          <t>CUMPLE</t>
        </is>
      </c>
      <c r="I16" s="7" t="inlineStr"/>
      <c r="J16" s="26">
        <f>IFERROR(IF(ISNUMBER(VLOOKUP(H16,Leyenda!$A$5:$C$10,3,FALSE)),VLOOKUP(H16,Leyenda!$A$5:$C$10,3,FALSE),""),"")</f>
        <v/>
      </c>
      <c r="K16" s="3" t="inlineStr">
        <is>
          <t>src/main/resources/application-prod.yml:7 — La conexión a la base exige TLS.
src/main/resources/application.yml:22 — La conexión a la base exige TLS.
src/main/resources/application.yml:22 — La base exige TLS.</t>
        </is>
      </c>
      <c r="L16" s="3" t="inlineStr">
        <is>
          <t>Revisión manual del 2026-10-22: Las llamadas entre contenedores van por la red interna de Docker, no por Internet.</t>
        </is>
      </c>
      <c r="M16" s="3" t="inlineStr"/>
      <c r="N16" s="27" t="inlineStr"/>
      <c r="O16" s="28" t="n"/>
      <c r="P16" s="29">
        <f>A16&amp;"|"&amp;C16</f>
        <v/>
      </c>
    </row>
    <row r="17">
      <c r="A17" s="7" t="inlineStr">
        <is>
          <t>vg-ms-certificate</t>
        </is>
      </c>
      <c r="B17" s="7" t="inlineStr">
        <is>
          <t>microservicio</t>
        </is>
      </c>
      <c r="C17" s="7" t="inlineStr">
        <is>
          <t>SEC-016</t>
        </is>
      </c>
      <c r="D17" s="3" t="inlineStr">
        <is>
          <t>Validación de entrada</t>
        </is>
      </c>
      <c r="E17" s="3" t="inlineStr">
        <is>
          <t>Datos, secretos y configuración</t>
        </is>
      </c>
      <c r="F17" s="7" t="inlineStr">
        <is>
          <t>DEBE</t>
        </is>
      </c>
      <c r="G17" s="7" t="inlineStr">
        <is>
          <t>Estático</t>
        </is>
      </c>
      <c r="H17" s="12" t="inlineStr">
        <is>
          <t>CUMPLE</t>
        </is>
      </c>
      <c r="I17" s="7" t="inlineStr"/>
      <c r="J17" s="26">
        <f>IFERROR(IF(ISNUMBER(VLOOKUP(H17,Leyenda!$A$5:$C$10,3,FALSE)),VLOOKUP(H17,Leyenda!$A$5:$C$10,3,FALSE),""),"")</f>
        <v/>
      </c>
      <c r="K17" s="3" t="inlineStr">
        <is>
          <t>src/main/java/pe/edu/vallegrande/fideinexus/certificate/infrastructure/adapter/in/rest/controller/CertificateRest.java:143 — Se valida el cuerpo al entrar.
src/main/java/pe/edu/vallegrande/fideinexus/certificate/infrastructure/adapter/in/rest/dto/request/CertificateGenerateRequest.java:9 — Reglas de validación en el request.</t>
        </is>
      </c>
      <c r="L17" s="3" t="inlineStr">
        <is>
          <t>La entrada se valida en el backend aunque el front ya valide.</t>
        </is>
      </c>
      <c r="M17" s="3" t="inlineStr"/>
      <c r="N17" s="27" t="inlineStr"/>
      <c r="O17" s="28" t="n"/>
      <c r="P17" s="29">
        <f>A17&amp;"|"&amp;C17</f>
        <v/>
      </c>
    </row>
    <row r="18">
      <c r="A18" s="7" t="inlineStr">
        <is>
          <t>vg-ms-certificate</t>
        </is>
      </c>
      <c r="B18" s="7" t="inlineStr">
        <is>
          <t>microservicio</t>
        </is>
      </c>
      <c r="C18" s="7" t="inlineStr">
        <is>
          <t>SEC-017</t>
        </is>
      </c>
      <c r="D18" s="3" t="inlineStr">
        <is>
          <t>Respuestas de error diferenciadas y seguras</t>
        </is>
      </c>
      <c r="E18" s="3" t="inlineStr">
        <is>
          <t>Errores, logs y auditoría</t>
        </is>
      </c>
      <c r="F18" s="7" t="inlineStr">
        <is>
          <t>DEBE</t>
        </is>
      </c>
      <c r="G18" s="7" t="inlineStr">
        <is>
          <t>Mixto</t>
        </is>
      </c>
      <c r="H18" s="12" t="inlineStr">
        <is>
          <t>CUMPLE</t>
        </is>
      </c>
      <c r="I18" s="7" t="inlineStr"/>
      <c r="J18" s="26">
        <f>IFERROR(IF(ISNUMBER(VLOOKUP(H18,Leyenda!$A$5:$C$10,3,FALSE)),VLOOKUP(H18,Leyenda!$A$5:$C$10,3,FALSE),""),"")</f>
        <v/>
      </c>
      <c r="K18" s="3" t="inlineStr">
        <is>
          <t>src/main/java/pe/edu/vallegrande/fideinexus/certificate/infrastructure/exception/GlobalExceptionHandler.java:31 — Respuestas diferenciadas: BAD_REQUEST, CONFLICT, FORBIDDEN, INTERNAL_SERVER_ERROR, METHOD_NOT_ALLOWED, NOT_ACCEPTABLE, NOT_FOUND, UNPROCESSABLE_ENTITY, UNSUPPORTED_MEDIA_TYPE.</t>
        </is>
      </c>
      <c r="L18" s="3" t="inlineStr">
        <is>
          <t>Cada error tiene su código y un mensaje sin detalles internos.</t>
        </is>
      </c>
      <c r="M18" s="3" t="inlineStr"/>
      <c r="N18" s="27" t="inlineStr"/>
      <c r="O18" s="28" t="n"/>
      <c r="P18" s="29">
        <f>A18&amp;"|"&amp;C18</f>
        <v/>
      </c>
    </row>
    <row r="19">
      <c r="A19" s="7" t="inlineStr">
        <is>
          <t>vg-ms-certificate</t>
        </is>
      </c>
      <c r="B19" s="7" t="inlineStr">
        <is>
          <t>microservicio</t>
        </is>
      </c>
      <c r="C19" s="7" t="inlineStr">
        <is>
          <t>SEC-018</t>
        </is>
      </c>
      <c r="D19" s="3" t="inlineStr">
        <is>
          <t>Logs seguros</t>
        </is>
      </c>
      <c r="E19" s="3" t="inlineStr">
        <is>
          <t>Errores, logs y auditoría</t>
        </is>
      </c>
      <c r="F19" s="7" t="inlineStr">
        <is>
          <t>DEBE</t>
        </is>
      </c>
      <c r="G19" s="7" t="inlineStr">
        <is>
          <t>Estático</t>
        </is>
      </c>
      <c r="H19" s="12" t="inlineStr">
        <is>
          <t>CUMPLE</t>
        </is>
      </c>
      <c r="I19" s="7" t="inlineStr"/>
      <c r="J19" s="26">
        <f>IFERROR(IF(ISNUMBER(VLOOKUP(H19,Leyenda!$A$5:$C$10,3,FALSE)),VLOOKUP(H19,Leyenda!$A$5:$C$10,3,FALSE),""),"")</f>
        <v/>
      </c>
      <c r="K19" s="3" t="inlineStr">
        <is>
          <t>src/main/java/pe/edu/vallegrande/fideinexus/certificate/application/usecase/CertificateService.java:147 — Logs revisados.</t>
        </is>
      </c>
      <c r="L19" s="3" t="inlineStr">
        <is>
          <t>Los logs no imprimen tokens ni datos sensibles.</t>
        </is>
      </c>
      <c r="M19" s="3" t="inlineStr"/>
      <c r="N19" s="27" t="inlineStr"/>
      <c r="O19" s="28" t="n"/>
      <c r="P19" s="29">
        <f>A19&amp;"|"&amp;C19</f>
        <v/>
      </c>
    </row>
    <row r="20">
      <c r="A20" s="7" t="inlineStr">
        <is>
          <t>vg-ms-certificate</t>
        </is>
      </c>
      <c r="B20" s="7" t="inlineStr">
        <is>
          <t>microservicio</t>
        </is>
      </c>
      <c r="C20" s="7" t="inlineStr">
        <is>
          <t>SEC-019</t>
        </is>
      </c>
      <c r="D20" s="3" t="inlineStr">
        <is>
          <t>Auditoría de operaciones sensibles</t>
        </is>
      </c>
      <c r="E20" s="3" t="inlineStr">
        <is>
          <t>Errores, logs y auditoría</t>
        </is>
      </c>
      <c r="F20" s="7" t="inlineStr">
        <is>
          <t>DEBE</t>
        </is>
      </c>
      <c r="G20" s="7" t="inlineStr">
        <is>
          <t>Estático</t>
        </is>
      </c>
      <c r="H20" s="12" t="inlineStr">
        <is>
          <t>CUMPLE</t>
        </is>
      </c>
      <c r="I20" s="7" t="inlineStr"/>
      <c r="J20" s="26">
        <f>IFERROR(IF(ISNUMBER(VLOOKUP(H20,Leyenda!$A$5:$C$10,3,FALSE)),VLOOKUP(H20,Leyenda!$A$5:$C$10,3,FALSE),""),"")</f>
        <v/>
      </c>
      <c r="K20" s="3" t="inlineStr">
        <is>
          <t>src/main/java/pe/edu/vallegrande/fideinexus/certificate/domain/model/AuditLog.java:12 — Las operaciones de escritura dejan registro de auditoría.</t>
        </is>
      </c>
      <c r="L20" s="3" t="inlineStr">
        <is>
          <t>Crear, editar y eliminar quedan auditados.</t>
        </is>
      </c>
      <c r="M20" s="3" t="inlineStr"/>
      <c r="N20" s="27" t="inlineStr"/>
      <c r="O20" s="28" t="n"/>
      <c r="P20" s="29">
        <f>A20&amp;"|"&amp;C20</f>
        <v/>
      </c>
    </row>
    <row r="21">
      <c r="A21" s="7" t="inlineStr">
        <is>
          <t>vg-ms-certificate</t>
        </is>
      </c>
      <c r="B21" s="7" t="inlineStr">
        <is>
          <t>microservicio</t>
        </is>
      </c>
      <c r="C21" s="7" t="inlineStr">
        <is>
          <t>SEC-020</t>
        </is>
      </c>
      <c r="D21" s="3" t="inlineStr">
        <is>
          <t>Control de pertenencia sobre recursos</t>
        </is>
      </c>
      <c r="E21" s="3" t="inlineStr">
        <is>
          <t>Integridad transversal</t>
        </is>
      </c>
      <c r="F21" s="7" t="inlineStr">
        <is>
          <t>DEBE</t>
        </is>
      </c>
      <c r="G21" s="7" t="inlineStr">
        <is>
          <t>Estático</t>
        </is>
      </c>
      <c r="H21" s="12" t="inlineStr">
        <is>
          <t>CUMPLE</t>
        </is>
      </c>
      <c r="I21" s="7" t="inlineStr"/>
      <c r="J21" s="26">
        <f>IFERROR(IF(ISNUMBER(VLOOKUP(H21,Leyenda!$A$5:$C$10,3,FALSE)),VLOOKUP(H21,Leyenda!$A$5:$C$10,3,FALSE),""),"")</f>
        <v/>
      </c>
      <c r="K21" s="3" t="inlineStr">
        <is>
          <t>src/main/java/pe/edu/vallegrande/fideinexus/certificate/domain/exception/TenantAccessException.java:4 — Se comprueba que el recurso sea de la parroquia del usuario.</t>
        </is>
      </c>
      <c r="L21" s="3" t="inlineStr">
        <is>
          <t>Antes de leer o cambiar un recurso se valida su pertenencia.</t>
        </is>
      </c>
      <c r="M21" s="3" t="inlineStr"/>
      <c r="N21" s="27" t="inlineStr"/>
      <c r="O21" s="28" t="n"/>
      <c r="P21" s="29">
        <f>A21&amp;"|"&amp;C21</f>
        <v/>
      </c>
    </row>
    <row r="22">
      <c r="A22" s="7" t="inlineStr">
        <is>
          <t>vg-ms-certificate</t>
        </is>
      </c>
      <c r="B22" s="7" t="inlineStr">
        <is>
          <t>microservicio</t>
        </is>
      </c>
      <c r="C22" s="7" t="inlineStr">
        <is>
          <t>SEC-021</t>
        </is>
      </c>
      <c r="D22" s="3" t="inlineStr">
        <is>
          <t>Integridad de contexto</t>
        </is>
      </c>
      <c r="E22" s="3" t="inlineStr">
        <is>
          <t>Integridad transversal</t>
        </is>
      </c>
      <c r="F22" s="7" t="inlineStr">
        <is>
          <t>DEBE</t>
        </is>
      </c>
      <c r="G22" s="7" t="inlineStr">
        <is>
          <t>Estático</t>
        </is>
      </c>
      <c r="H22" s="12" t="inlineStr">
        <is>
          <t>CUMPLE</t>
        </is>
      </c>
      <c r="I22" s="7" t="inlineStr"/>
      <c r="J22" s="26">
        <f>IFERROR(IF(ISNUMBER(VLOOKUP(H22,Leyenda!$A$5:$C$10,3,FALSE)),VLOOKUP(H22,Leyenda!$A$5:$C$10,3,FALSE),""),"")</f>
        <v/>
      </c>
      <c r="K22" s="3" t="inlineStr">
        <is>
          <t>src/main/java/pe/edu/vallegrande/fideinexus/certificate/infrastructure/adapter/out/client/security/JwtSecurityContextClientAdapter.java:23 — El contexto sale del token, no del body.</t>
        </is>
      </c>
      <c r="L22" s="3" t="inlineStr">
        <is>
          <t>El cliente no puede cambiar tenant ni autor.</t>
        </is>
      </c>
      <c r="M22" s="3" t="inlineStr"/>
      <c r="N22" s="27" t="inlineStr"/>
      <c r="O22" s="28" t="n"/>
      <c r="P22" s="29">
        <f>A22&amp;"|"&amp;C22</f>
        <v/>
      </c>
    </row>
    <row r="23">
      <c r="A23" s="7" t="inlineStr">
        <is>
          <t>vg-ms-certificate</t>
        </is>
      </c>
      <c r="B23" s="7" t="inlineStr">
        <is>
          <t>microservicio</t>
        </is>
      </c>
      <c r="C23" s="7" t="inlineStr">
        <is>
          <t>SEC-022</t>
        </is>
      </c>
      <c r="D23" s="3" t="inlineStr">
        <is>
          <t>Idempotencia y control de concurrencia</t>
        </is>
      </c>
      <c r="E23" s="3" t="inlineStr">
        <is>
          <t>Integridad transversal</t>
        </is>
      </c>
      <c r="F23" s="7" t="inlineStr">
        <is>
          <t>DEBERÍA</t>
        </is>
      </c>
      <c r="G23" s="7" t="inlineStr">
        <is>
          <t>Estático</t>
        </is>
      </c>
      <c r="H23" s="12" t="inlineStr">
        <is>
          <t>CUMPLE</t>
        </is>
      </c>
      <c r="I23" s="7" t="inlineStr"/>
      <c r="J23" s="26">
        <f>IFERROR(IF(ISNUMBER(VLOOKUP(H23,Leyenda!$A$5:$C$10,3,FALSE)),VLOOKUP(H23,Leyenda!$A$5:$C$10,3,FALSE),""),"")</f>
        <v/>
      </c>
      <c r="K23" s="3" t="inlineStr">
        <is>
          <t>src/main/java/pe/edu/vallegrande/fideinexus/certificate/infrastructure/adapter/out/persistence/r2dbc/entity/CertificateEntity.java:44 — Se detectan duplicados o colisiones y se responde 409.</t>
        </is>
      </c>
      <c r="L23" s="3" t="inlineStr">
        <is>
          <t>Un reintento no duplica registros.</t>
        </is>
      </c>
      <c r="M23" s="3" t="inlineStr"/>
      <c r="N23" s="27" t="inlineStr"/>
      <c r="O23" s="28" t="n"/>
      <c r="P23" s="29">
        <f>A23&amp;"|"&amp;C23</f>
        <v/>
      </c>
    </row>
  </sheetData>
  <autoFilter ref="A1:P23"/>
  <conditionalFormatting sqref="H2:H2000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dataValidations count="2">
    <dataValidation sqref="H2:H2000" showDropDown="0" showInputMessage="0" showErrorMessage="0" allowBlank="0" errorTitle="Estado inválido" error="Use uno de los estados definidos en la hoja Leyenda." type="list">
      <formula1>"CUMPLE,PARCIAL,NO_CUMPLE,NO_APLICA,REQUIERE_REVISION_MANUAL,SIN_EVALUAR"</formula1>
    </dataValidation>
    <dataValidation sqref="I2:I2000" showDropDown="0" showInputMessage="0" showErrorMessage="0" allowBlank="1" type="list">
      <formula1>"Crítica,Alta,Media,Baja"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30" customWidth="1" min="4" max="4"/>
    <col width="10" customWidth="1" min="5" max="5"/>
    <col width="11" customWidth="1" min="6" max="6"/>
    <col width="14" customWidth="1" min="7" max="7"/>
    <col width="45" customWidth="1" min="8" max="8"/>
    <col width="55" customWidth="1" min="9" max="9"/>
    <col width="45" customWidth="1" min="10" max="10"/>
    <col width="18" customWidth="1" min="11" max="11"/>
    <col width="15" customWidth="1" min="12" max="12"/>
    <col width="20" customWidth="1" min="13" max="13"/>
  </cols>
  <sheetData>
    <row r="1">
      <c r="A1" s="20" t="inlineStr">
        <is>
          <t>Hallazgos abiertos (NO_CUMPLE y PARCIAL), ordenados por severidad</t>
        </is>
      </c>
    </row>
    <row r="2">
      <c r="A2" s="21" t="inlineStr">
        <is>
          <t>Instantánea generada con el reporte. La fuente viva de datos es la hoja Resultados. Complete responsable, fecha y estado de remediación.</t>
        </is>
      </c>
    </row>
    <row r="4" ht="32" customHeight="1">
      <c r="A4" s="11" t="inlineStr">
        <is>
          <t>ID</t>
        </is>
      </c>
      <c r="B4" s="11" t="inlineStr">
        <is>
          <t>Componente</t>
        </is>
      </c>
      <c r="C4" s="11" t="inlineStr">
        <is>
          <t>Regla</t>
        </is>
      </c>
      <c r="D4" s="11" t="inlineStr">
        <is>
          <t>Título</t>
        </is>
      </c>
      <c r="E4" s="11" t="inlineStr">
        <is>
          <t>Nivel</t>
        </is>
      </c>
      <c r="F4" s="11" t="inlineStr">
        <is>
          <t>Severidad</t>
        </is>
      </c>
      <c r="G4" s="11" t="inlineStr">
        <is>
          <t>Estado</t>
        </is>
      </c>
      <c r="H4" s="11" t="inlineStr">
        <is>
          <t>Observación</t>
        </is>
      </c>
      <c r="I4" s="11" t="inlineStr">
        <is>
          <t>Evidencia</t>
        </is>
      </c>
      <c r="J4" s="11" t="inlineStr">
        <is>
          <t>Recomendación</t>
        </is>
      </c>
      <c r="K4" s="11" t="inlineStr">
        <is>
          <t>Responsable</t>
        </is>
      </c>
      <c r="L4" s="11" t="inlineStr">
        <is>
          <t>Fecha compromiso</t>
        </is>
      </c>
      <c r="M4" s="11" t="inlineStr">
        <is>
          <t>Estado de remediación</t>
        </is>
      </c>
    </row>
    <row r="5">
      <c r="A5" s="12" t="inlineStr">
        <is>
          <t>H-001</t>
        </is>
      </c>
      <c r="B5" s="7" t="inlineStr">
        <is>
          <t>vg-ms-certificate</t>
        </is>
      </c>
      <c r="C5" s="7" t="inlineStr">
        <is>
          <t>SEC-003</t>
        </is>
      </c>
      <c r="D5" s="3" t="inlineStr">
        <is>
          <t>Clientes de Keycloak por responsabilidad</t>
        </is>
      </c>
      <c r="E5" s="7" t="inlineStr">
        <is>
          <t>DEBE</t>
        </is>
      </c>
      <c r="F5" s="7" t="inlineStr">
        <is>
          <t>Alta</t>
        </is>
      </c>
      <c r="G5" s="12" t="inlineStr">
        <is>
          <t>PARCIAL</t>
        </is>
      </c>
      <c r="H5" s="3" t="inlineStr">
        <is>
          <t>Revisión manual del 2026-10-22: Los clientes están separados por aplicación y prs-postman cumple: público, Authorization Code con PKCE S256, sin Direct Access Grants y con redirect exacto. prs-frontend y fideiNexus mantienen Direct Access Grants porque la web inicia sesión con contraseña, y aceptan cualquier redirect URI.</t>
        </is>
      </c>
      <c r="I5" s="3" t="inlineStr">
        <is>
          <t>docs/keycloak/prs-realm-export.json:858 — prs-frontend y fideiNexus aceptan cualquier redirect URI.
docs/keycloak/prs-realm-export.json:920 — Cliente propio para Postman, público y separado del frontend.</t>
        </is>
      </c>
      <c r="J5" s="3" t="inlineStr">
        <is>
          <t>Restringir Valid redirect URIs y Web origins de prs-frontend y fideiNexus al dominio real de la web, y migrar el login de la web a Authorization Code con PKCE para apagar Direct Access Grants.</t>
        </is>
      </c>
      <c r="K5" s="27" t="inlineStr"/>
      <c r="L5" s="28" t="n"/>
      <c r="M5" s="27" t="inlineStr">
        <is>
          <t>Abierto</t>
        </is>
      </c>
    </row>
  </sheetData>
  <autoFilter ref="A4:M5"/>
  <conditionalFormatting sqref="G5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conditionalFormatting sqref="F5">
    <cfRule type="cellIs" priority="7" operator="equal" dxfId="0">
      <formula>"Crítica"</formula>
    </cfRule>
    <cfRule type="cellIs" priority="8" operator="equal" dxfId="6">
      <formula>"Alta"</formula>
    </cfRule>
    <cfRule type="cellIs" priority="9" operator="equal" dxfId="1">
      <formula>"Media"</formula>
    </cfRule>
    <cfRule type="cellIs" priority="10" operator="equal" dxfId="7">
      <formula>"Baja"</formula>
    </cfRule>
  </conditionalFormatting>
  <dataValidations count="1">
    <dataValidation sqref="M5:M200" showDropDown="0" showInputMessage="0" showErrorMessage="0" allowBlank="1" type="list">
      <formula1>"Abierto,En progreso,Resuelto,Riesgo aceptado"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8" customWidth="1" min="2" max="2"/>
    <col width="30" customWidth="1" min="3" max="3"/>
    <col width="24" customWidth="1" min="4" max="4"/>
    <col width="26" customWidth="1" min="5" max="5"/>
    <col width="11" customWidth="1" min="6" max="6"/>
    <col width="28" customWidth="1" min="7" max="7"/>
    <col width="55" customWidth="1" min="8" max="8"/>
    <col width="60" customWidth="1" min="9" max="9"/>
  </cols>
  <sheetData>
    <row r="1" ht="32" customHeight="1">
      <c r="A1" s="11" t="inlineStr">
        <is>
          <t>ID</t>
        </is>
      </c>
      <c r="B1" s="11" t="inlineStr">
        <is>
          <t>Prueba mínima (sección 11)</t>
        </is>
      </c>
      <c r="C1" s="11" t="inlineStr">
        <is>
          <t>Resultado esperado</t>
        </is>
      </c>
      <c r="D1" s="11" t="inlineStr">
        <is>
          <t>Reglas relacionadas</t>
        </is>
      </c>
      <c r="E1" s="11" t="inlineStr">
        <is>
          <t>Estado</t>
        </is>
      </c>
      <c r="F1" s="11" t="inlineStr">
        <is>
          <t>Método</t>
        </is>
      </c>
      <c r="G1" s="11" t="inlineStr">
        <is>
          <t>Componentes probados</t>
        </is>
      </c>
      <c r="H1" s="11" t="inlineStr">
        <is>
          <t>Evidencia</t>
        </is>
      </c>
      <c r="I1" s="11" t="inlineStr">
        <is>
          <t>Observación</t>
        </is>
      </c>
    </row>
    <row r="2">
      <c r="A2" s="17" t="inlineStr">
        <is>
          <t>T01</t>
        </is>
      </c>
      <c r="B2" s="3" t="inlineStr">
        <is>
          <t>Solicitud sin token</t>
        </is>
      </c>
      <c r="C2" s="3" t="inlineStr">
        <is>
          <t>Responde 401.</t>
        </is>
      </c>
      <c r="D2" s="3" t="inlineStr">
        <is>
          <t>SEC-004, SEC-017</t>
        </is>
      </c>
      <c r="E2" s="17" t="inlineStr">
        <is>
          <t>REQUIERE_REVISION_MANUAL</t>
        </is>
      </c>
      <c r="F2" s="3" t="inlineStr">
        <is>
          <t>Manual</t>
        </is>
      </c>
      <c r="G2" s="3" t="inlineStr"/>
      <c r="H2" s="3" t="inlineStr"/>
      <c r="I2" s="3" t="inlineStr">
        <is>
          <t>No hay una prueba automatizada que lo cubra.</t>
        </is>
      </c>
    </row>
    <row r="3">
      <c r="A3" s="17" t="inlineStr">
        <is>
          <t>T02</t>
        </is>
      </c>
      <c r="B3" s="3" t="inlineStr">
        <is>
          <t>Token vencido o con issuer incorrecto</t>
        </is>
      </c>
      <c r="C3" s="3" t="inlineStr">
        <is>
          <t>Responde 401.</t>
        </is>
      </c>
      <c r="D3" s="3" t="inlineStr">
        <is>
          <t>SEC-004</t>
        </is>
      </c>
      <c r="E3" s="17" t="inlineStr">
        <is>
          <t>REQUIERE_REVISION_MANUAL</t>
        </is>
      </c>
      <c r="F3" s="3" t="inlineStr">
        <is>
          <t>Manual</t>
        </is>
      </c>
      <c r="G3" s="3" t="inlineStr"/>
      <c r="H3" s="3" t="inlineStr"/>
      <c r="I3" s="3" t="inlineStr">
        <is>
          <t>No hay una prueba automatizada que lo cubra.</t>
        </is>
      </c>
    </row>
    <row r="4">
      <c r="A4" s="17" t="inlineStr">
        <is>
          <t>T03</t>
        </is>
      </c>
      <c r="B4" s="3" t="inlineStr">
        <is>
          <t>Usuario autenticado sin rol</t>
        </is>
      </c>
      <c r="C4" s="3" t="inlineStr">
        <is>
          <t>Responde 403.</t>
        </is>
      </c>
      <c r="D4" s="3" t="inlineStr">
        <is>
          <t>SEC-005, SEC-007</t>
        </is>
      </c>
      <c r="E4" s="17" t="inlineStr">
        <is>
          <t>REQUIERE_REVISION_MANUAL</t>
        </is>
      </c>
      <c r="F4" s="3" t="inlineStr">
        <is>
          <t>Manual</t>
        </is>
      </c>
      <c r="G4" s="3" t="inlineStr"/>
      <c r="H4" s="3" t="inlineStr"/>
      <c r="I4" s="3" t="inlineStr">
        <is>
          <t>No hay una prueba automatizada que lo cubra.</t>
        </is>
      </c>
    </row>
    <row r="5">
      <c r="A5" s="17" t="inlineStr">
        <is>
          <t>T04</t>
        </is>
      </c>
      <c r="B5" s="3" t="inlineStr">
        <is>
          <t>Usuario de otro tenant</t>
        </is>
      </c>
      <c r="C5" s="3" t="inlineStr">
        <is>
          <t>No puede leer ni modificar el recurso.</t>
        </is>
      </c>
      <c r="D5" s="3" t="inlineStr">
        <is>
          <t>SEC-008, SEC-009, SEC-010</t>
        </is>
      </c>
      <c r="E5" s="17" t="inlineStr">
        <is>
          <t>CUMPLE</t>
        </is>
      </c>
      <c r="F5" s="3" t="inlineStr">
        <is>
          <t>Estático</t>
        </is>
      </c>
      <c r="G5" s="3" t="inlineStr"/>
      <c r="H5" s="3" t="inlineStr">
        <is>
          <t>src/test/java/pe/edu/vallegrande/fideinexus/certificate/application/usecase/CertificateServiceTest.java:173 — Prueba automatizada que lo cubre.</t>
        </is>
      </c>
      <c r="I5" s="3" t="inlineStr">
        <is>
          <t>Prueba dinámica con dos tenants. Estático: pruebas de aislamiento existentes y filtros de tenant en acceso a datos.</t>
        </is>
      </c>
    </row>
    <row r="6">
      <c r="A6" s="17" t="inlineStr">
        <is>
          <t>T05</t>
        </is>
      </c>
      <c r="B6" s="3" t="inlineStr">
        <is>
          <t>Docente intentando usar otra clase</t>
        </is>
      </c>
      <c r="C6" s="3" t="inlineStr">
        <is>
          <t>La operación es rechazada.</t>
        </is>
      </c>
      <c r="D6" s="3" t="inlineStr">
        <is>
          <t>SEC-020</t>
        </is>
      </c>
      <c r="E6" s="17" t="inlineStr">
        <is>
          <t>NO_APLICA</t>
        </is>
      </c>
      <c r="F6" s="3" t="inlineStr">
        <is>
          <t>Estático</t>
        </is>
      </c>
      <c r="G6" s="3" t="inlineStr"/>
      <c r="H6" s="3" t="inlineStr"/>
      <c r="I6" s="3" t="inlineStr">
        <is>
          <t>La prueba es para un docente que usa otra clase; en una parroquia no hay clases ni docentes.</t>
        </is>
      </c>
    </row>
    <row r="7">
      <c r="A7" s="17" t="inlineStr">
        <is>
          <t>T06</t>
        </is>
      </c>
      <c r="B7" s="3" t="inlineStr">
        <is>
          <t>Token o secreto en logs o respuestas</t>
        </is>
      </c>
      <c r="C7" s="3" t="inlineStr">
        <is>
          <t>No aparece.</t>
        </is>
      </c>
      <c r="D7" s="3" t="inlineStr">
        <is>
          <t>SEC-014, SEC-017, SEC-018</t>
        </is>
      </c>
      <c r="E7" s="17" t="inlineStr">
        <is>
          <t>REQUIERE_REVISION_MANUAL</t>
        </is>
      </c>
      <c r="F7" s="3" t="inlineStr">
        <is>
          <t>Manual</t>
        </is>
      </c>
      <c r="G7" s="3" t="inlineStr"/>
      <c r="H7" s="3" t="inlineStr"/>
      <c r="I7" s="3" t="inlineStr">
        <is>
          <t>No hay una prueba automatizada que lo cubra.</t>
        </is>
      </c>
    </row>
    <row r="8">
      <c r="A8" s="17" t="inlineStr">
        <is>
          <t>T07</t>
        </is>
      </c>
      <c r="B8" s="3" t="inlineStr">
        <is>
          <t>Reintento de operación masiva</t>
        </is>
      </c>
      <c r="C8" s="3" t="inlineStr">
        <is>
          <t>No duplica datos.</t>
        </is>
      </c>
      <c r="D8" s="3" t="inlineStr">
        <is>
          <t>SEC-022</t>
        </is>
      </c>
      <c r="E8" s="17" t="inlineStr">
        <is>
          <t>REQUIERE_REVISION_MANUAL</t>
        </is>
      </c>
      <c r="F8" s="3" t="inlineStr">
        <is>
          <t>Manual</t>
        </is>
      </c>
      <c r="G8" s="3" t="inlineStr"/>
      <c r="H8" s="3" t="inlineStr"/>
      <c r="I8" s="3" t="inlineStr">
        <is>
          <t>No hay una prueba automatizada que lo cubra.</t>
        </is>
      </c>
    </row>
    <row r="9">
      <c r="A9" s="17" t="inlineStr">
        <is>
          <t>T08</t>
        </is>
      </c>
      <c r="B9" s="3" t="inlineStr">
        <is>
          <t>CORS con origen no autorizado</t>
        </is>
      </c>
      <c r="C9" s="3" t="inlineStr">
        <is>
          <t>Se rechaza.</t>
        </is>
      </c>
      <c r="D9" s="3" t="inlineStr">
        <is>
          <t>SEC-013</t>
        </is>
      </c>
      <c r="E9" s="17" t="inlineStr">
        <is>
          <t>REQUIERE_REVISION_MANUAL</t>
        </is>
      </c>
      <c r="F9" s="3" t="inlineStr">
        <is>
          <t>Manual</t>
        </is>
      </c>
      <c r="G9" s="3" t="inlineStr"/>
      <c r="H9" s="3" t="inlineStr"/>
      <c r="I9" s="3" t="inlineStr">
        <is>
          <t>No hay una prueba automatizada que lo cubra.</t>
        </is>
      </c>
    </row>
    <row r="10">
      <c r="A10" s="17" t="inlineStr">
        <is>
          <t>T09</t>
        </is>
      </c>
      <c r="B10" s="3" t="inlineStr">
        <is>
          <t>Datos inválidos con frontend manipulado</t>
        </is>
      </c>
      <c r="C10" s="3" t="inlineStr">
        <is>
          <t>El servicio los rechaza igualmente.</t>
        </is>
      </c>
      <c r="D10" s="3" t="inlineStr">
        <is>
          <t>SEC-016</t>
        </is>
      </c>
      <c r="E10" s="17" t="inlineStr">
        <is>
          <t>REQUIERE_REVISION_MANUAL</t>
        </is>
      </c>
      <c r="F10" s="3" t="inlineStr">
        <is>
          <t>Manual</t>
        </is>
      </c>
      <c r="G10" s="3" t="inlineStr"/>
      <c r="H10" s="3" t="inlineStr"/>
      <c r="I10" s="3" t="inlineStr">
        <is>
          <t>No hay una prueba automatizada que lo cubra.</t>
        </is>
      </c>
    </row>
    <row r="12">
      <c r="A12" s="10" t="inlineStr">
        <is>
          <t>Si no hay observación, la columna muestra cómo verificar la prueba. SIN_EVALUAR = prueba no ejecutada ni confirmada por pruebas automatizadas existentes.</t>
        </is>
      </c>
    </row>
  </sheetData>
  <conditionalFormatting sqref="E2:E10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dataValidations count="1">
    <dataValidation sqref="E2:E10" showDropDown="0" showInputMessage="0" showErrorMessage="0" allowBlank="0" type="list">
      <formula1>"CUMPLE,PARCIAL,NO_CUMPLE,NO_APLICA,REQUIERE_REVISION_MANUAL,SIN_EVALUAR"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6" customWidth="1" min="3" max="3"/>
    <col width="22" customWidth="1" min="4" max="4"/>
    <col width="50" customWidth="1" min="5" max="5"/>
  </cols>
  <sheetData>
    <row r="1">
      <c r="A1" s="20" t="inlineStr">
        <is>
          <t>Checklist para revisión (sección 12 del estándar)</t>
        </is>
      </c>
    </row>
    <row r="2">
      <c r="A2" s="21" t="inlineStr">
        <is>
          <t>Estado calculado con fórmulas a partir de las reglas y pruebas vinculadas. Peor resultado manda: cualquier NO_CUMPLE → NO CUMPLE.</t>
        </is>
      </c>
    </row>
    <row r="4" ht="30" customHeight="1">
      <c r="A4" s="11" t="inlineStr">
        <is>
          <t>#</t>
        </is>
      </c>
      <c r="B4" s="11" t="inlineStr">
        <is>
          <t>Ítem del checklist</t>
        </is>
      </c>
      <c r="C4" s="11" t="inlineStr">
        <is>
          <t>Reglas / pruebas vinculadas</t>
        </is>
      </c>
      <c r="D4" s="11" t="inlineStr">
        <is>
          <t>Estado</t>
        </is>
      </c>
      <c r="E4" s="11" t="inlineStr">
        <is>
          <t>Comentario del revisor</t>
        </is>
      </c>
    </row>
    <row r="5">
      <c r="A5" s="24" t="n">
        <v>1</v>
      </c>
      <c r="B5" s="3" t="inlineStr">
        <is>
          <t>Keycloak está configurado por ambiente.</t>
        </is>
      </c>
      <c r="C5" s="3" t="inlineStr">
        <is>
          <t>SEC-001</t>
        </is>
      </c>
      <c r="D5" s="30">
        <f>IF(COUNTIFS(Resultados!$C$2:$C$2000,"SEC-001",Resultados!$H$2:$H$2000,"NO_CUMPLE")&gt;0,"NO CUMPLE",IF(COUNTIFS(Resultados!$C$2:$C$2000,"SEC-001",Resultados!$H$2:$H$2000,"PARCIAL")+COUNTIFS(Resultados!$C$2:$C$2000,"SEC-001",Resultados!$H$2:$H$2000,"REQUIERE_REVISION_MANUAL")+COUNTIFS(Resultados!$C$2:$C$2000,"SEC-001",Resultados!$H$2:$H$2000,"SIN_EVALUAR")&gt;0,"PARCIAL / PENDIENTE",IF(COUNTIFS(Resultados!$C$2:$C$2000,"SEC-001",Resultados!$H$2:$H$2000,"CUMPLE")&gt;0,"CUMPLE",IF(COUNTIFS(Resultados!$C$2:$C$2000,"SEC-001",Resultados!$H$2:$H$2000,"NO_APLICA")&gt;0,"NO APLICA","SIN DATOS"))))</f>
        <v/>
      </c>
      <c r="E5" s="31" t="n"/>
    </row>
    <row r="6">
      <c r="A6" s="24" t="n">
        <v>2</v>
      </c>
      <c r="B6" s="3" t="inlineStr">
        <is>
          <t>Los clientes tienen responsabilidades separadas.</t>
        </is>
      </c>
      <c r="C6" s="3" t="inlineStr">
        <is>
          <t>SEC-003</t>
        </is>
      </c>
      <c r="D6" s="30">
        <f>IF(COUNTIFS(Resultados!$C$2:$C$2000,"SEC-003",Resultados!$H$2:$H$2000,"NO_CUMPLE")&gt;0,"NO CUMPLE",IF(COUNTIFS(Resultados!$C$2:$C$2000,"SEC-003",Resultados!$H$2:$H$2000,"PARCIAL")+COUNTIFS(Resultados!$C$2:$C$2000,"SEC-003",Resultados!$H$2:$H$2000,"REQUIERE_REVISION_MANUAL")+COUNTIFS(Resultados!$C$2:$C$2000,"SEC-003",Resultados!$H$2:$H$2000,"SIN_EVALUAR")&gt;0,"PARCIAL / PENDIENTE",IF(COUNTIFS(Resultados!$C$2:$C$2000,"SEC-003",Resultados!$H$2:$H$2000,"CUMPLE")&gt;0,"CUMPLE",IF(COUNTIFS(Resultados!$C$2:$C$2000,"SEC-003",Resultados!$H$2:$H$2000,"NO_APLICA")&gt;0,"NO APLICA","SIN DATOS"))))</f>
        <v/>
      </c>
      <c r="E6" s="31" t="n"/>
    </row>
    <row r="7">
      <c r="A7" s="24" t="n">
        <v>3</v>
      </c>
      <c r="B7" s="3" t="inlineStr">
        <is>
          <t>El JWT se valida en backend.</t>
        </is>
      </c>
      <c r="C7" s="3" t="inlineStr">
        <is>
          <t>SEC-004</t>
        </is>
      </c>
      <c r="D7" s="30">
        <f>IF(COUNTIFS(Resultados!$C$2:$C$2000,"SEC-004",Resultados!$H$2:$H$2000,"NO_CUMPLE")&gt;0,"NO CUMPLE",IF(COUNTIFS(Resultados!$C$2:$C$2000,"SEC-004",Resultados!$H$2:$H$2000,"PARCIAL")+COUNTIFS(Resultados!$C$2:$C$2000,"SEC-004",Resultados!$H$2:$H$2000,"REQUIERE_REVISION_MANUAL")+COUNTIFS(Resultados!$C$2:$C$2000,"SEC-004",Resultados!$H$2:$H$2000,"SIN_EVALUAR")&gt;0,"PARCIAL / PENDIENTE",IF(COUNTIFS(Resultados!$C$2:$C$2000,"SEC-004",Resultados!$H$2:$H$2000,"CUMPLE")&gt;0,"CUMPLE",IF(COUNTIFS(Resultados!$C$2:$C$2000,"SEC-004",Resultados!$H$2:$H$2000,"NO_APLICA")&gt;0,"NO APLICA","SIN DATOS"))))</f>
        <v/>
      </c>
      <c r="E7" s="31" t="n"/>
    </row>
    <row r="8">
      <c r="A8" s="24" t="n">
        <v>4</v>
      </c>
      <c r="B8" s="3" t="inlineStr">
        <is>
          <t>Los endpoints tienen autorización por rol.</t>
        </is>
      </c>
      <c r="C8" s="3" t="inlineStr">
        <is>
          <t>SEC-005, SEC-007</t>
        </is>
      </c>
      <c r="D8" s="30">
        <f>IF(COUNTIFS(Resultados!$C$2:$C$2000,"SEC-005",Resultados!$H$2:$H$2000,"NO_CUMPLE")+COUNTIFS(Resultados!$C$2:$C$2000,"SEC-007",Resultados!$H$2:$H$2000,"NO_CUMPLE")&gt;0,"NO CUMPLE",IF(COUNTIFS(Resultados!$C$2:$C$2000,"SEC-005",Resultados!$H$2:$H$2000,"PARCIAL")+COUNTIFS(Resultados!$C$2:$C$2000,"SEC-005",Resultados!$H$2:$H$2000,"REQUIERE_REVISION_MANUAL")+COUNTIFS(Resultados!$C$2:$C$2000,"SEC-005",Resultados!$H$2:$H$2000,"SIN_EVALUAR")+COUNTIFS(Resultados!$C$2:$C$2000,"SEC-007",Resultados!$H$2:$H$2000,"PARCIAL")+COUNTIFS(Resultados!$C$2:$C$2000,"SEC-007",Resultados!$H$2:$H$2000,"REQUIERE_REVISION_MANUAL")+COUNTIFS(Resultados!$C$2:$C$2000,"SEC-007",Resultados!$H$2:$H$2000,"SIN_EVALUAR")&gt;0,"PARCIAL / PENDIENTE",IF(COUNTIFS(Resultados!$C$2:$C$2000,"SEC-005",Resultados!$H$2:$H$2000,"CUMPLE")+COUNTIFS(Resultados!$C$2:$C$2000,"SEC-007",Resultados!$H$2:$H$2000,"CUMPLE")&gt;0,"CUMPLE",IF(COUNTIFS(Resultados!$C$2:$C$2000,"SEC-005",Resultados!$H$2:$H$2000,"NO_APLICA")+COUNTIFS(Resultados!$C$2:$C$2000,"SEC-007",Resultados!$H$2:$H$2000,"NO_APLICA")&gt;0,"NO APLICA","SIN DATOS"))))</f>
        <v/>
      </c>
      <c r="E8" s="31" t="n"/>
    </row>
    <row r="9">
      <c r="A9" s="24" t="n">
        <v>5</v>
      </c>
      <c r="B9" s="3" t="inlineStr">
        <is>
          <t>El tenant se obtiene y valida desde un contexto confiable.</t>
        </is>
      </c>
      <c r="C9" s="3" t="inlineStr">
        <is>
          <t>SEC-008</t>
        </is>
      </c>
      <c r="D9" s="30">
        <f>IF(COUNTIFS(Resultados!$C$2:$C$2000,"SEC-008",Resultados!$H$2:$H$2000,"NO_CUMPLE")&gt;0,"NO CUMPLE",IF(COUNTIFS(Resultados!$C$2:$C$2000,"SEC-008",Resultados!$H$2:$H$2000,"PARCIAL")+COUNTIFS(Resultados!$C$2:$C$2000,"SEC-008",Resultados!$H$2:$H$2000,"REQUIERE_REVISION_MANUAL")+COUNTIFS(Resultados!$C$2:$C$2000,"SEC-008",Resultados!$H$2:$H$2000,"SIN_EVALUAR")&gt;0,"PARCIAL / PENDIENTE",IF(COUNTIFS(Resultados!$C$2:$C$2000,"SEC-008",Resultados!$H$2:$H$2000,"CUMPLE")&gt;0,"CUMPLE",IF(COUNTIFS(Resultados!$C$2:$C$2000,"SEC-008",Resultados!$H$2:$H$2000,"NO_APLICA")&gt;0,"NO APLICA","SIN DATOS"))))</f>
        <v/>
      </c>
      <c r="E9" s="31" t="n"/>
    </row>
    <row r="10">
      <c r="A10" s="24" t="n">
        <v>6</v>
      </c>
      <c r="B10" s="3" t="inlineStr">
        <is>
          <t>Las consultas filtran por tenant y año lectivo cuando corresponde.</t>
        </is>
      </c>
      <c r="C10" s="3" t="inlineStr">
        <is>
          <t>SEC-009, SEC-021</t>
        </is>
      </c>
      <c r="D10" s="30">
        <f>IF(COUNTIFS(Resultados!$C$2:$C$2000,"SEC-009",Resultados!$H$2:$H$2000,"NO_CUMPLE")+COUNTIFS(Resultados!$C$2:$C$2000,"SEC-021",Resultados!$H$2:$H$2000,"NO_CUMPLE")&gt;0,"NO CUMPLE",IF(COUNTIFS(Resultados!$C$2:$C$2000,"SEC-009",Resultados!$H$2:$H$2000,"PARCIAL")+COUNTIFS(Resultados!$C$2:$C$2000,"SEC-009",Resultados!$H$2:$H$2000,"REQUIERE_REVISION_MANUAL")+COUNTIFS(Resultados!$C$2:$C$2000,"SEC-009",Resultados!$H$2:$H$2000,"SIN_EVALUAR")+COUNTIFS(Resultados!$C$2:$C$2000,"SEC-021",Resultados!$H$2:$H$2000,"PARCIAL")+COUNTIFS(Resultados!$C$2:$C$2000,"SEC-021",Resultados!$H$2:$H$2000,"REQUIERE_REVISION_MANUAL")+COUNTIFS(Resultados!$C$2:$C$2000,"SEC-021",Resultados!$H$2:$H$2000,"SIN_EVALUAR")&gt;0,"PARCIAL / PENDIENTE",IF(COUNTIFS(Resultados!$C$2:$C$2000,"SEC-009",Resultados!$H$2:$H$2000,"CUMPLE")+COUNTIFS(Resultados!$C$2:$C$2000,"SEC-021",Resultados!$H$2:$H$2000,"CUMPLE")&gt;0,"CUMPLE",IF(COUNTIFS(Resultados!$C$2:$C$2000,"SEC-009",Resultados!$H$2:$H$2000,"NO_APLICA")+COUNTIFS(Resultados!$C$2:$C$2000,"SEC-021",Resultados!$H$2:$H$2000,"NO_APLICA")&gt;0,"NO APLICA","SIN DATOS"))))</f>
        <v/>
      </c>
      <c r="E10" s="31" t="n"/>
    </row>
    <row r="11">
      <c r="A11" s="24" t="n">
        <v>7</v>
      </c>
      <c r="B11" s="3" t="inlineStr">
        <is>
          <t>No existen secretos en el repositorio.</t>
        </is>
      </c>
      <c r="C11" s="3" t="inlineStr">
        <is>
          <t>SEC-014</t>
        </is>
      </c>
      <c r="D11" s="30">
        <f>IF(COUNTIFS(Resultados!$C$2:$C$2000,"SEC-014",Resultados!$H$2:$H$2000,"NO_CUMPLE")&gt;0,"NO CUMPLE",IF(COUNTIFS(Resultados!$C$2:$C$2000,"SEC-014",Resultados!$H$2:$H$2000,"PARCIAL")+COUNTIFS(Resultados!$C$2:$C$2000,"SEC-014",Resultados!$H$2:$H$2000,"REQUIERE_REVISION_MANUAL")+COUNTIFS(Resultados!$C$2:$C$2000,"SEC-014",Resultados!$H$2:$H$2000,"SIN_EVALUAR")&gt;0,"PARCIAL / PENDIENTE",IF(COUNTIFS(Resultados!$C$2:$C$2000,"SEC-014",Resultados!$H$2:$H$2000,"CUMPLE")&gt;0,"CUMPLE",IF(COUNTIFS(Resultados!$C$2:$C$2000,"SEC-014",Resultados!$H$2:$H$2000,"NO_APLICA")&gt;0,"NO APLICA","SIN DATOS"))))</f>
        <v/>
      </c>
      <c r="E11" s="31" t="n"/>
    </row>
    <row r="12">
      <c r="A12" s="24" t="n">
        <v>8</v>
      </c>
      <c r="B12" s="3" t="inlineStr">
        <is>
          <t>Los errores no revelan información sensible.</t>
        </is>
      </c>
      <c r="C12" s="3" t="inlineStr">
        <is>
          <t>SEC-017</t>
        </is>
      </c>
      <c r="D12" s="30">
        <f>IF(COUNTIFS(Resultados!$C$2:$C$2000,"SEC-017",Resultados!$H$2:$H$2000,"NO_CUMPLE")&gt;0,"NO CUMPLE",IF(COUNTIFS(Resultados!$C$2:$C$2000,"SEC-017",Resultados!$H$2:$H$2000,"PARCIAL")+COUNTIFS(Resultados!$C$2:$C$2000,"SEC-017",Resultados!$H$2:$H$2000,"REQUIERE_REVISION_MANUAL")+COUNTIFS(Resultados!$C$2:$C$2000,"SEC-017",Resultados!$H$2:$H$2000,"SIN_EVALUAR")&gt;0,"PARCIAL / PENDIENTE",IF(COUNTIFS(Resultados!$C$2:$C$2000,"SEC-017",Resultados!$H$2:$H$2000,"CUMPLE")&gt;0,"CUMPLE",IF(COUNTIFS(Resultados!$C$2:$C$2000,"SEC-017",Resultados!$H$2:$H$2000,"NO_APLICA")&gt;0,"NO APLICA","SIN DATOS"))))</f>
        <v/>
      </c>
      <c r="E12" s="31" t="n"/>
    </row>
    <row r="13">
      <c r="A13" s="24" t="n">
        <v>9</v>
      </c>
      <c r="B13" s="3" t="inlineStr">
        <is>
          <t>Los logs no contienen tokens ni contraseñas.</t>
        </is>
      </c>
      <c r="C13" s="3" t="inlineStr">
        <is>
          <t>SEC-018</t>
        </is>
      </c>
      <c r="D13" s="30">
        <f>IF(COUNTIFS(Resultados!$C$2:$C$2000,"SEC-018",Resultados!$H$2:$H$2000,"NO_CUMPLE")&gt;0,"NO CUMPLE",IF(COUNTIFS(Resultados!$C$2:$C$2000,"SEC-018",Resultados!$H$2:$H$2000,"PARCIAL")+COUNTIFS(Resultados!$C$2:$C$2000,"SEC-018",Resultados!$H$2:$H$2000,"REQUIERE_REVISION_MANUAL")+COUNTIFS(Resultados!$C$2:$C$2000,"SEC-018",Resultados!$H$2:$H$2000,"SIN_EVALUAR")&gt;0,"PARCIAL / PENDIENTE",IF(COUNTIFS(Resultados!$C$2:$C$2000,"SEC-018",Resultados!$H$2:$H$2000,"CUMPLE")&gt;0,"CUMPLE",IF(COUNTIFS(Resultados!$C$2:$C$2000,"SEC-018",Resultados!$H$2:$H$2000,"NO_APLICA")&gt;0,"NO APLICA","SIN DATOS"))))</f>
        <v/>
      </c>
      <c r="E13" s="31" t="n"/>
    </row>
    <row r="14">
      <c r="A14" s="24" t="n">
        <v>10</v>
      </c>
      <c r="B14" s="3" t="inlineStr">
        <is>
          <t>Existen pruebas de 401, 403, tenant incorrecto e idempotencia.</t>
        </is>
      </c>
      <c r="C14" s="3" t="inlineStr">
        <is>
          <t>T01, T03, T04, T07</t>
        </is>
      </c>
      <c r="D14" s="30">
        <f>IF(COUNTIFS(Pruebas!$A$2:$A$10,"T01",Pruebas!$E$2:$E$10,"NO_CUMPLE")+COUNTIFS(Pruebas!$A$2:$A$10,"T03",Pruebas!$E$2:$E$10,"NO_CUMPLE")+COUNTIFS(Pruebas!$A$2:$A$10,"T04",Pruebas!$E$2:$E$10,"NO_CUMPLE")+COUNTIFS(Pruebas!$A$2:$A$10,"T07",Pruebas!$E$2:$E$10,"NO_CUMPLE")&gt;0,"NO CUMPLE",IF(COUNTIFS(Pruebas!$A$2:$A$10,"T01",Pruebas!$E$2:$E$10,"PARCIAL")+COUNTIFS(Pruebas!$A$2:$A$10,"T01",Pruebas!$E$2:$E$10,"REQUIERE_REVISION_MANUAL")+COUNTIFS(Pruebas!$A$2:$A$10,"T01",Pruebas!$E$2:$E$10,"SIN_EVALUAR")+COUNTIFS(Pruebas!$A$2:$A$10,"T03",Pruebas!$E$2:$E$10,"PARCIAL")+COUNTIFS(Pruebas!$A$2:$A$10,"T03",Pruebas!$E$2:$E$10,"REQUIERE_REVISION_MANUAL")+COUNTIFS(Pruebas!$A$2:$A$10,"T03",Pruebas!$E$2:$E$10,"SIN_EVALUAR")+COUNTIFS(Pruebas!$A$2:$A$10,"T04",Pruebas!$E$2:$E$10,"PARCIAL")+COUNTIFS(Pruebas!$A$2:$A$10,"T04",Pruebas!$E$2:$E$10,"REQUIERE_REVISION_MANUAL")+COUNTIFS(Pruebas!$A$2:$A$10,"T04",Pruebas!$E$2:$E$10,"SIN_EVALUAR")+COUNTIFS(Pruebas!$A$2:$A$10,"T07",Pruebas!$E$2:$E$10,"PARCIAL")+COUNTIFS(Pruebas!$A$2:$A$10,"T07",Pruebas!$E$2:$E$10,"REQUIERE_REVISION_MANUAL")+COUNTIFS(Pruebas!$A$2:$A$10,"T07",Pruebas!$E$2:$E$10,"SIN_EVALUAR")&gt;0,"PARCIAL / PENDIENTE",IF(COUNTIFS(Pruebas!$A$2:$A$10,"T01",Pruebas!$E$2:$E$10,"CUMPLE")+COUNTIFS(Pruebas!$A$2:$A$10,"T03",Pruebas!$E$2:$E$10,"CUMPLE")+COUNTIFS(Pruebas!$A$2:$A$10,"T04",Pruebas!$E$2:$E$10,"CUMPLE")+COUNTIFS(Pruebas!$A$2:$A$10,"T07",Pruebas!$E$2:$E$10,"CUMPLE")&gt;0,"CUMPLE",IF(COUNTIFS(Pruebas!$A$2:$A$10,"T01",Pruebas!$E$2:$E$10,"NO_APLICA")+COUNTIFS(Pruebas!$A$2:$A$10,"T03",Pruebas!$E$2:$E$10,"NO_APLICA")+COUNTIFS(Pruebas!$A$2:$A$10,"T04",Pruebas!$E$2:$E$10,"NO_APLICA")+COUNTIFS(Pruebas!$A$2:$A$10,"T07",Pruebas!$E$2:$E$10,"NO_APLICA")&gt;0,"NO APLICA","SIN DATOS"))))</f>
        <v/>
      </c>
      <c r="E14" s="31" t="n"/>
    </row>
    <row r="15">
      <c r="A15" s="24" t="n">
        <v>11</v>
      </c>
      <c r="B15" s="3" t="inlineStr">
        <is>
          <t>La documentación y los roles coinciden con la configuración real.</t>
        </is>
      </c>
      <c r="C15" s="3" t="inlineStr">
        <is>
          <t>SEC-006</t>
        </is>
      </c>
      <c r="D15" s="30">
        <f>IF(COUNTIFS(Resultados!$C$2:$C$2000,"SEC-006",Resultados!$H$2:$H$2000,"NO_CUMPLE")&gt;0,"NO CUMPLE",IF(COUNTIFS(Resultados!$C$2:$C$2000,"SEC-006",Resultados!$H$2:$H$2000,"PARCIAL")+COUNTIFS(Resultados!$C$2:$C$2000,"SEC-006",Resultados!$H$2:$H$2000,"REQUIERE_REVISION_MANUAL")+COUNTIFS(Resultados!$C$2:$C$2000,"SEC-006",Resultados!$H$2:$H$2000,"SIN_EVALUAR")&gt;0,"PARCIAL / PENDIENTE",IF(COUNTIFS(Resultados!$C$2:$C$2000,"SEC-006",Resultados!$H$2:$H$2000,"CUMPLE")&gt;0,"CUMPLE",IF(COUNTIFS(Resultados!$C$2:$C$2000,"SEC-006",Resultados!$H$2:$H$2000,"NO_APLICA")&gt;0,"NO APLICA","SIN DATOS"))))</f>
        <v/>
      </c>
      <c r="E15" s="31" t="n"/>
    </row>
    <row r="16">
      <c r="A16" s="24" t="n">
        <v>12</v>
      </c>
      <c r="B16" s="3" t="inlineStr">
        <is>
          <t>Las reglas se aplican de forma consistente en todos los proyectos.</t>
        </is>
      </c>
      <c r="C16" s="3" t="inlineStr">
        <is>
          <t>—</t>
        </is>
      </c>
      <c r="D16" s="30" t="inlineStr">
        <is>
          <t>CUMPLE</t>
        </is>
      </c>
      <c r="E16" s="31" t="inlineStr">
        <is>
          <t>La skill trae las mismas 22 reglas que el kit, y el pipeline de cada servicio las evalúa con el mismo kit.</t>
        </is>
      </c>
    </row>
  </sheetData>
  <conditionalFormatting sqref="D5:D16">
    <cfRule type="cellIs" priority="1" operator="equal" dxfId="2">
      <formula>"CUMPLE"</formula>
    </cfRule>
    <cfRule type="cellIs" priority="2" operator="equal" dxfId="0">
      <formula>"NO CUMPLE"</formula>
    </cfRule>
    <cfRule type="cellIs" priority="3" operator="equal" dxfId="1">
      <formula>"PARCIAL / PENDIENTE"</formula>
    </cfRule>
    <cfRule type="cellIs" priority="4" operator="equal" dxfId="4">
      <formula>"REVISIÓN MANUAL"</formula>
    </cfRule>
    <cfRule type="cellIs" priority="5" operator="equal" dxfId="8">
      <formula>"NO APLICA"</formula>
    </cfRule>
    <cfRule type="cellIs" priority="6" operator="equal" dxfId="5">
      <formula>"SIN DATOS"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10" customWidth="1" min="4" max="4"/>
    <col width="12" customWidth="1" min="5" max="5"/>
    <col width="28" customWidth="1" min="6" max="6"/>
    <col width="11" customWidth="1" min="7" max="7"/>
    <col width="55" customWidth="1" min="8" max="8"/>
    <col width="65" customWidth="1" min="9" max="9"/>
    <col width="40" customWidth="1" min="10" max="10"/>
    <col width="40" customWidth="1" min="11" max="11"/>
  </cols>
  <sheetData>
    <row r="1" ht="30" customHeight="1">
      <c r="A1" s="11" t="inlineStr">
        <is>
          <t>ID</t>
        </is>
      </c>
      <c r="B1" s="11" t="inlineStr">
        <is>
          <t>Título</t>
        </is>
      </c>
      <c r="C1" s="11" t="inlineStr">
        <is>
          <t>Categoría</t>
        </is>
      </c>
      <c r="D1" s="11" t="inlineStr">
        <is>
          <t>Nivel</t>
        </is>
      </c>
      <c r="E1" s="11" t="inlineStr">
        <is>
          <t>Severidad base</t>
        </is>
      </c>
      <c r="F1" s="11" t="inlineStr">
        <is>
          <t>Aplica a</t>
        </is>
      </c>
      <c r="G1" s="11" t="inlineStr">
        <is>
          <t>Método</t>
        </is>
      </c>
      <c r="H1" s="11" t="inlineStr">
        <is>
          <t>Requisito del estándar</t>
        </is>
      </c>
      <c r="I1" s="11" t="inlineStr">
        <is>
          <t>Qué se verifica</t>
        </is>
      </c>
      <c r="J1" s="11" t="inlineStr">
        <is>
          <t>Cumple si</t>
        </is>
      </c>
      <c r="K1" s="11" t="inlineStr">
        <is>
          <t>No cumple si</t>
        </is>
      </c>
    </row>
    <row r="2">
      <c r="A2" s="17" t="inlineStr">
        <is>
          <t>SEC-001</t>
        </is>
      </c>
      <c r="B2" s="3" t="inlineStr">
        <is>
          <t>Proveedor de identidad</t>
        </is>
      </c>
      <c r="C2" s="3" t="inlineStr">
        <is>
          <t>Identidad y autenticación</t>
        </is>
      </c>
      <c r="D2" s="3" t="inlineStr">
        <is>
          <t>DEBE</t>
        </is>
      </c>
      <c r="E2" s="3" t="inlineStr">
        <is>
          <t>Alta</t>
        </is>
      </c>
      <c r="F2" s="3" t="inlineStr">
        <is>
          <t>frontend, mobile, gateway, microservicio, infraestructura</t>
        </is>
      </c>
      <c r="G2" s="3" t="inlineStr">
        <is>
          <t>Mixto</t>
        </is>
      </c>
      <c r="H2" s="3" t="inlineStr">
        <is>
          <t>Todos los clientes y servicios protegidos usan Keycloak como IdP centralizado, con configuración separada por ambiente para que tokens de desarrollo no sean aceptados en producción.</t>
        </is>
      </c>
      <c r="I2" s="3" t="inlineStr">
        <is>
          <t>• El issuer/authority/realm configurado apunta a Keycloak (o a un IdP compatible que cumple los mismos controles).
• Existe configuración distinta por ambiente (perfiles, archivos environment, variables) y el perfil de producción no apunta al realm o URL de desarrollo.
• No hay un segundo mecanismo de autenticación paralelo (usuarios locales, JWT propios firmados con clave simétrica compartida).</t>
        </is>
      </c>
      <c r="J2" s="3" t="inlineStr">
        <is>
          <t>El IdP es Keycloak o equivalente compatible y cada ambiente tiene su propio issuer/realm sin cruces.</t>
        </is>
      </c>
      <c r="K2" s="3" t="inlineStr">
        <is>
          <t>Producción usa el issuer de desarrollo, hay IdP o autenticación propia paralela, o no hay separación por ambiente.</t>
        </is>
      </c>
    </row>
    <row r="3">
      <c r="A3" s="17" t="inlineStr">
        <is>
          <t>SEC-002</t>
        </is>
      </c>
      <c r="B3" s="3" t="inlineStr">
        <is>
          <t>Protocolo OIDC sobre OAuth 2.0</t>
        </is>
      </c>
      <c r="C3" s="3" t="inlineStr">
        <is>
          <t>Identidad y autenticación</t>
        </is>
      </c>
      <c r="D3" s="3" t="inlineStr">
        <is>
          <t>DEBE</t>
        </is>
      </c>
      <c r="E3" s="3" t="inlineStr">
        <is>
          <t>Alta</t>
        </is>
      </c>
      <c r="F3" s="3" t="inlineStr">
        <is>
          <t>frontend, mobile, gateway, microservicio</t>
        </is>
      </c>
      <c r="G3" s="3" t="inlineStr">
        <is>
          <t>Estático</t>
        </is>
      </c>
      <c r="H3" s="3" t="inlineStr">
        <is>
          <t>La autenticación usa OpenID Connect sobre OAuth 2.0; el frontend usa Authorization Code con PKCE; no existen formularios propios para almacenar o validar contraseñas.</t>
        </is>
      </c>
      <c r="I3" s="3" t="inlineStr">
        <is>
          <t>• El cliente público usa Authorization Code + PKCE (code_challenge_method S256).
• No se usan flujos Implicit ni Resource Owner Password (grant_type=password).
• No hay pantallas, endpoints o tablas propias que reciban, almacenen o validen contraseñas de usuarios finales.</t>
        </is>
      </c>
      <c r="J3" s="3" t="inlineStr">
        <is>
          <t>El flujo es Code+PKCE (frontend/mobile) y el backend no gestiona contraseñas de usuarios finales.</t>
        </is>
      </c>
      <c r="K3" s="3" t="inlineStr">
        <is>
          <t>Se usa Implicit/Password grant, falta PKCE en cliente público, o existe un login propio con contraseñas.</t>
        </is>
      </c>
    </row>
    <row r="4">
      <c r="A4" s="17" t="inlineStr">
        <is>
          <t>SEC-003</t>
        </is>
      </c>
      <c r="B4" s="3" t="inlineStr">
        <is>
          <t>Clientes de Keycloak por responsabilidad</t>
        </is>
      </c>
      <c r="C4" s="3" t="inlineStr">
        <is>
          <t>Identidad y autenticación</t>
        </is>
      </c>
      <c r="D4" s="3" t="inlineStr">
        <is>
          <t>DEBE</t>
        </is>
      </c>
      <c r="E4" s="3" t="inlineStr">
        <is>
          <t>Alta</t>
        </is>
      </c>
      <c r="F4" s="3" t="inlineStr">
        <is>
          <t>frontend, mobile, gateway, microservicio, infraestructura</t>
        </is>
      </c>
      <c r="G4" s="3" t="inlineStr">
        <is>
          <t>Estático</t>
        </is>
      </c>
      <c r="H4" s="3" t="inlineStr">
        <is>
          <t>Cliente público para frontend sin client_secret embebido; cliente de backend para autenticación de máquina; redirecciones y orígenes limitados a los dominios del ambiente; secretos de clientes confidenciales por variables de entorno o gestor de secretos.</t>
        </is>
      </c>
      <c r="I4" s="3" t="inlineStr">
        <is>
          <t>• El frontend/mobile no contiene client_secret en código, bundle, variables públicas ni repositorio.
• Existen clientes separados para frontend y para servicios (service accounts).
• redirectUris y webOrigins no usan comodín '*' ni dominios de otros ambientes.
• El secreto de clientes confidenciales se lee de variables de entorno o gestor de secretos.</t>
        </is>
      </c>
      <c r="J4" s="3" t="inlineStr">
        <is>
          <t>Clientes separados, público sin secreto, redirecciones exactas por ambiente y secretos externalizados.</t>
        </is>
      </c>
      <c r="K4" s="3" t="inlineStr">
        <is>
          <t>Hay secreto en frontend, redirectUris con '*', o un único cliente compartido para frontend y backend.</t>
        </is>
      </c>
    </row>
    <row r="5">
      <c r="A5" s="17" t="inlineStr">
        <is>
          <t>SEC-004</t>
        </is>
      </c>
      <c r="B5" s="3" t="inlineStr">
        <is>
          <t>Validación de tokens JWT</t>
        </is>
      </c>
      <c r="C5" s="3" t="inlineStr">
        <is>
          <t>Identidad y autenticación</t>
        </is>
      </c>
      <c r="D5" s="3" t="inlineStr">
        <is>
          <t>DEBE</t>
        </is>
      </c>
      <c r="E5" s="3" t="inlineStr">
        <is>
          <t>Crítica</t>
        </is>
      </c>
      <c r="F5" s="3" t="inlineStr">
        <is>
          <t>gateway, microservicio</t>
        </is>
      </c>
      <c r="G5" s="3" t="inlineStr">
        <is>
          <t>Mixto</t>
        </is>
      </c>
      <c r="H5" s="3" t="inlineStr">
        <is>
          <t>Gateway y cada microservicio protegido validan el JWT: firma con claves públicas de Keycloak, iss, aud cuando aplique, exp y formato. No se confía en un identificador de usuario enviado por header, query o body si no coincide con la identidad autenticada.</t>
        </is>
      </c>
      <c r="I5" s="3" t="inlineStr">
        <is>
          <t>• Existe un resource server / middleware que valida la firma contra el JWKS de Keycloak.
• Se valida issuer y expiración; se valida audience cuando el servicio lo requiere.
• No hay decodificación sin verificación (decode sin verify, alg none, ignoreExpiration).
• El userId usado en la lógica sale del token, no de header/param/body sin contrastar.
• No hay rutas protegidas marcadas como permitAll por error.</t>
        </is>
      </c>
      <c r="J5" s="3" t="inlineStr">
        <is>
          <t>Firma, iss y exp se validan en el backend; audience se valida donde corresponde; la identidad proviene del token.</t>
        </is>
      </c>
      <c r="K5" s="3" t="inlineStr">
        <is>
          <t>No se valida la firma, el issuer o la expiración, o se confía en la identidad enviada por el cliente.</t>
        </is>
      </c>
    </row>
    <row r="6">
      <c r="A6" s="17" t="inlineStr">
        <is>
          <t>SEC-005</t>
        </is>
      </c>
      <c r="B6" s="3" t="inlineStr">
        <is>
          <t>Autorización en backend</t>
        </is>
      </c>
      <c r="C6" s="3" t="inlineStr">
        <is>
          <t>Autorización y roles</t>
        </is>
      </c>
      <c r="D6" s="3" t="inlineStr">
        <is>
          <t>DEBE</t>
        </is>
      </c>
      <c r="E6" s="3" t="inlineStr">
        <is>
          <t>Crítica</t>
        </is>
      </c>
      <c r="F6" s="3" t="inlineStr">
        <is>
          <t>gateway, microservicio</t>
        </is>
      </c>
      <c r="G6" s="3" t="inlineStr">
        <is>
          <t>Estático</t>
        </is>
      </c>
      <c r="H6" s="3" t="inlineStr">
        <is>
          <t>Los permisos se validan en el gateway y, de forma independiente, en el microservicio que ejecuta la operación. Ocultar un botón en el frontend no es autorización.</t>
        </is>
      </c>
      <c r="I6" s="3" t="inlineStr">
        <is>
          <t>• El gateway aplica reglas de autorización por ruta/rol.
• Cada microservicio autoriza por sí mismo (anotaciones, reglas de seguridad o middleware) sin depender del gateway.
• Ningún endpoint de negocio queda sin regla de autorización explícita.</t>
        </is>
      </c>
      <c r="J6" s="3" t="inlineStr">
        <is>
          <t>Todos los endpoints de negocio tienen autorización explícita validada en el propio servicio.</t>
        </is>
      </c>
      <c r="K6" s="3" t="inlineStr">
        <is>
          <t>Hay endpoints de negocio sin autorización, o el servicio confía únicamente en el gateway o en el frontend.</t>
        </is>
      </c>
    </row>
    <row r="7">
      <c r="A7" s="17" t="inlineStr">
        <is>
          <t>SEC-006</t>
        </is>
      </c>
      <c r="B7" s="3" t="inlineStr">
        <is>
          <t>Roles de negocio consistentes</t>
        </is>
      </c>
      <c r="C7" s="3" t="inlineStr">
        <is>
          <t>Autorización y roles</t>
        </is>
      </c>
      <c r="D7" s="3" t="inlineStr">
        <is>
          <t>DEBERÍA</t>
        </is>
      </c>
      <c r="E7" s="3" t="inlineStr">
        <is>
          <t>Media</t>
        </is>
      </c>
      <c r="F7" s="3" t="inlineStr">
        <is>
          <t>frontend, gateway, microservicio, infraestructura</t>
        </is>
      </c>
      <c r="G7" s="3" t="inlineStr">
        <is>
          <t>Estático</t>
        </is>
      </c>
      <c r="H7" s="3" t="inlineStr">
        <is>
          <t>El sistema usa roles de negocio claros (ADMIN, DIRECTOR, COORDINATOR, TEACHER, SECRETARY u otros definidos). Los nombres definitivos DEBEN ser consistentes entre Keycloak, gateway, microservicios y documentación.</t>
        </is>
      </c>
      <c r="I7" s="3" t="inlineStr">
        <is>
          <t>• El conjunto de roles usado en código coincide con los roles definidos en Keycloak (realm export).
• Los nombres de rol son idénticos (mayúsculas, prefijos ROLE_) entre componentes.
• La documentación del proyecto lista los mismos roles que la configuración real.</t>
        </is>
      </c>
      <c r="J7" s="3" t="inlineStr">
        <is>
          <t>Los roles coinciden entre Keycloak, código y documentación.</t>
        </is>
      </c>
      <c r="K7" s="3" t="inlineStr">
        <is>
          <t>Hay roles usados en código que no existen en Keycloak, nombres distintos entre componentes o documentación desactualizada.</t>
        </is>
      </c>
    </row>
    <row r="8">
      <c r="A8" s="17" t="inlineStr">
        <is>
          <t>SEC-007</t>
        </is>
      </c>
      <c r="B8" s="3" t="inlineStr">
        <is>
          <t>Menor privilegio por endpoint</t>
        </is>
      </c>
      <c r="C8" s="3" t="inlineStr">
        <is>
          <t>Autorización y roles</t>
        </is>
      </c>
      <c r="D8" s="3" t="inlineStr">
        <is>
          <t>DEBE</t>
        </is>
      </c>
      <c r="E8" s="3" t="inlineStr">
        <is>
          <t>Alta</t>
        </is>
      </c>
      <c r="F8" s="3" t="inlineStr">
        <is>
          <t>gateway, microservicio</t>
        </is>
      </c>
      <c r="G8" s="3" t="inlineStr">
        <is>
          <t>Estático</t>
        </is>
      </c>
      <c r="H8" s="3" t="inlineStr">
        <is>
          <t>Cada endpoint otorga solo el permiso necesario; no se usa un rol administrativo como solución general; lectura, creación, actualización y eliminación DEBERÍAN tener permisos diferenciados cuando el riesgo lo justifique.</t>
        </is>
      </c>
      <c r="I8" s="3" t="inlineStr">
        <is>
          <t>• No hay hasRole('ADMIN') (o equivalente) aplicado de forma generalizada para evitar errores de permisos.
• Los endpoints de escritura/borrado exigen un permiso más restrictivo que los de lectura cuando el riesgo lo justifica.
• Los roles asignados a cada endpoint se corresponden con quién necesita realmente la operación.</t>
        </is>
      </c>
      <c r="J8" s="3" t="inlineStr">
        <is>
          <t>Los permisos están acotados por endpoint y operación.</t>
        </is>
      </c>
      <c r="K8" s="3" t="inlineStr">
        <is>
          <t>Se usa ADMIN o 'authenticated' de forma indiscriminada, o endpoints sensibles quedan abiertos a roles que no los necesitan.</t>
        </is>
      </c>
    </row>
    <row r="9">
      <c r="A9" s="17" t="inlineStr">
        <is>
          <t>SEC-008</t>
        </is>
      </c>
      <c r="B9" s="3" t="inlineStr">
        <is>
          <t>Tenant derivado de la identidad autenticada</t>
        </is>
      </c>
      <c r="C9" s="3" t="inlineStr">
        <is>
          <t>Aislamiento multi-tenant</t>
        </is>
      </c>
      <c r="D9" s="3" t="inlineStr">
        <is>
          <t>DEBE</t>
        </is>
      </c>
      <c r="E9" s="3" t="inlineStr">
        <is>
          <t>Crítica</t>
        </is>
      </c>
      <c r="F9" s="3" t="inlineStr">
        <is>
          <t>frontend, mobile, gateway, microservicio</t>
        </is>
      </c>
      <c r="G9" s="3" t="inlineStr">
        <is>
          <t>Mixto</t>
        </is>
      </c>
      <c r="H9" s="3" t="inlineStr">
        <is>
          <t>Cada solicitud institucional se resuelve con el tenant asociado a la identidad autenticada o a un contexto confiable validado por el gateway. El frontend no puede cambiar de institución enviando solo otro tenantId.</t>
        </is>
      </c>
      <c r="I9" s="3" t="inlineStr">
        <is>
          <t>• El tenant efectivo se obtiene de un claim del token o de un header que el gateway sobrescribe y valida.
• El gateway elimina o sobrescribe cualquier header de tenant enviado por el cliente.
• Los servicios no aceptan tenantId de path/query/body como fuente de verdad sin contrastarlo con el tenant autenticado.
• El frontend no puede elegir libremente el tenant (selección validada contra los tenants permitidos del usuario).</t>
        </is>
      </c>
      <c r="J9" s="3" t="inlineStr">
        <is>
          <t>El tenant sale de la identidad o de un contexto validado por el gateway y no es manipulable desde el cliente.</t>
        </is>
      </c>
      <c r="K9" s="3" t="inlineStr">
        <is>
          <t>Cambiar el tenantId en la petición cambia la institución consultada.</t>
        </is>
      </c>
    </row>
    <row r="10">
      <c r="A10" s="17" t="inlineStr">
        <is>
          <t>SEC-009</t>
        </is>
      </c>
      <c r="B10" s="3" t="inlineStr">
        <is>
          <t>Filtro obligatorio por tenant en datos</t>
        </is>
      </c>
      <c r="C10" s="3" t="inlineStr">
        <is>
          <t>Aislamiento multi-tenant</t>
        </is>
      </c>
      <c r="D10" s="3" t="inlineStr">
        <is>
          <t>DEBE</t>
        </is>
      </c>
      <c r="E10" s="3" t="inlineStr">
        <is>
          <t>Crítica</t>
        </is>
      </c>
      <c r="F10" s="3" t="inlineStr">
        <is>
          <t>microservicio</t>
        </is>
      </c>
      <c r="G10" s="3" t="inlineStr">
        <is>
          <t>Estático</t>
        </is>
      </c>
      <c r="H10" s="3" t="inlineStr">
        <is>
          <t>Las consultas y mutaciones de datos institucionales filtran por tenant. Claves únicas, índices y reglas de negocio DEBERÍAN considerar el tenant cuando los datos puedan repetirse entre instituciones.</t>
        </is>
      </c>
      <c r="I10" s="3" t="inlineStr">
        <is>
          <t>• Todas las consultas (JPA, SQL nativo, Mongo, R2DBC) sobre datos institucionales incluyen el predicado de tenant, o hay un filtro global confiable.
• Las mutaciones (update/delete) también están acotadas por tenant.
• Claves únicas e índices incluyen el tenant donde los valores pueden repetirse entre instituciones.</t>
        </is>
      </c>
      <c r="J10" s="3" t="inlineStr">
        <is>
          <t>No se encuentran accesos a datos institucionales sin acotar por tenant.</t>
        </is>
      </c>
      <c r="K10" s="3" t="inlineStr">
        <is>
          <t>Existen consultas o mutaciones de datos institucionales sin filtro de tenant.</t>
        </is>
      </c>
    </row>
    <row r="11">
      <c r="A11" s="17" t="inlineStr">
        <is>
          <t>SEC-010</t>
        </is>
      </c>
      <c r="B11" s="3" t="inlineStr">
        <is>
          <t>Prevención de fuga de datos entre tenants</t>
        </is>
      </c>
      <c r="C11" s="3" t="inlineStr">
        <is>
          <t>Aislamiento multi-tenant</t>
        </is>
      </c>
      <c r="D11" s="3" t="inlineStr">
        <is>
          <t>DEBE</t>
        </is>
      </c>
      <c r="E11" s="3" t="inlineStr">
        <is>
          <t>Crítica</t>
        </is>
      </c>
      <c r="F11" s="3" t="inlineStr">
        <is>
          <t>gateway, microservicio</t>
        </is>
      </c>
      <c r="G11" s="3" t="inlineStr">
        <is>
          <t>Mixto</t>
        </is>
      </c>
      <c r="H11" s="3" t="inlineStr">
        <is>
          <t>El sistema rechaza el acceso cuando usuario, recurso, estudiante, clase o institución no pertenecen al mismo contexto autorizado. Los errores no revelan información de otro tenant.</t>
        </is>
      </c>
      <c r="I11" s="3" t="inlineStr">
        <is>
          <t>• Antes de devolver o modificar un recurso se verifica que pertenece al tenant autorizado.
• Los errores por recurso de otro tenant no distinguen 'existe pero no es tuyo' de 'no existe' ni incluyen datos ajenos.
• Existen pruebas automáticas de acceso cruzado entre tenants.</t>
        </is>
      </c>
      <c r="J11" s="3" t="inlineStr">
        <is>
          <t>El acceso cruzado es rechazado y los errores no filtran información.</t>
        </is>
      </c>
      <c r="K11" s="3" t="inlineStr">
        <is>
          <t>Un usuario puede leer o modificar recursos de otro tenant, o los mensajes revelan datos de otro tenant.</t>
        </is>
      </c>
    </row>
    <row r="12">
      <c r="A12" s="17" t="inlineStr">
        <is>
          <t>SEC-011</t>
        </is>
      </c>
      <c r="B12" s="3" t="inlineStr">
        <is>
          <t>Comunicación autenticada entre servicios</t>
        </is>
      </c>
      <c r="C12" s="3" t="inlineStr">
        <is>
          <t>Seguridad entre microservicios</t>
        </is>
      </c>
      <c r="D12" s="3" t="inlineStr">
        <is>
          <t>DEBE</t>
        </is>
      </c>
      <c r="E12" s="3" t="inlineStr">
        <is>
          <t>Alta</t>
        </is>
      </c>
      <c r="F12" s="3" t="inlineStr">
        <is>
          <t>gateway, microservicio, integracion</t>
        </is>
      </c>
      <c r="G12" s="3" t="inlineStr">
        <is>
          <t>Estático</t>
        </is>
      </c>
      <c r="H12" s="3" t="inlineStr">
        <is>
          <t>Las llamadas entre servicios usan un contexto de autenticación válido. Con propagación de token, el receptor lo vuelve a validar; con credencial de servicio, esta se limita al servicio y permisos necesarios.</t>
        </is>
      </c>
      <c r="I12" s="3" t="inlineStr">
        <is>
          <t>• Los clientes HTTP internos (WebClient, RestTemplate, Feign, axios, fetch) envían un token o credencial de servicio.
• El servicio receptor valida de nuevo el JWT; no confía en headers internos sin validar (X-Internal-*, X-User-*).
• Las credenciales de servicio (client_credentials) tienen roles/scopes mínimos.</t>
        </is>
      </c>
      <c r="J12" s="3" t="inlineStr">
        <is>
          <t>Toda llamada interna lleva identidad válida y es verificada por el receptor.</t>
        </is>
      </c>
      <c r="K12" s="3" t="inlineStr">
        <is>
          <t>Hay llamadas internas sin autenticación, headers internos confiables sin validar o credenciales de servicio con privilegios excesivos.</t>
        </is>
      </c>
    </row>
    <row r="13">
      <c r="A13" s="17" t="inlineStr">
        <is>
          <t>SEC-012</t>
        </is>
      </c>
      <c r="B13" s="3" t="inlineStr">
        <is>
          <t>Gateway como único punto de entrada público</t>
        </is>
      </c>
      <c r="C13" s="3" t="inlineStr">
        <is>
          <t>Seguridad entre microservicios</t>
        </is>
      </c>
      <c r="D13" s="3" t="inlineStr">
        <is>
          <t>DEBERÍA</t>
        </is>
      </c>
      <c r="E13" s="3" t="inlineStr">
        <is>
          <t>Alta</t>
        </is>
      </c>
      <c r="F13" s="3" t="inlineStr">
        <is>
          <t>gateway, microservicio, infraestructura</t>
        </is>
      </c>
      <c r="G13" s="3" t="inlineStr">
        <is>
          <t>Estático</t>
        </is>
      </c>
      <c r="H13" s="3" t="inlineStr">
        <is>
          <t>Los endpoints internos no se exponen directamente a Internet. El gateway es la entrada pública y aplica rutas, CORS, límites y políticas de autenticación.</t>
        </is>
      </c>
      <c r="I13" s="3" t="inlineStr">
        <is>
          <t>• En compose/Kubernetes solo el gateway (y el IdP) publican puertos o Ingress hacia el exterior.
• Los microservicios no tienen puertos mapeados al host ni Service tipo LoadBalancer/NodePort sin justificación.
• El gateway define rutas explícitas y aplica límites (rate limiting) y autenticación.
• Endpoints de gestión (actuator, swagger, h2-console) no quedan expuestos públicamente.</t>
        </is>
      </c>
      <c r="J13" s="3" t="inlineStr">
        <is>
          <t>Solo el gateway es público y aplica políticas de entrada.</t>
        </is>
      </c>
      <c r="K13" s="3" t="inlineStr">
        <is>
          <t>Microservicios o endpoints de gestión son accesibles directamente desde fuera.</t>
        </is>
      </c>
    </row>
    <row r="14">
      <c r="A14" s="17" t="inlineStr">
        <is>
          <t>SEC-013</t>
        </is>
      </c>
      <c r="B14" s="3" t="inlineStr">
        <is>
          <t>CORS restringido por ambiente</t>
        </is>
      </c>
      <c r="C14" s="3" t="inlineStr">
        <is>
          <t>Seguridad entre microservicios</t>
        </is>
      </c>
      <c r="D14" s="3" t="inlineStr">
        <is>
          <t>DEBE</t>
        </is>
      </c>
      <c r="E14" s="3" t="inlineStr">
        <is>
          <t>Alta</t>
        </is>
      </c>
      <c r="F14" s="3" t="inlineStr">
        <is>
          <t>gateway, microservicio</t>
        </is>
      </c>
      <c r="G14" s="3" t="inlineStr">
        <is>
          <t>Mixto</t>
        </is>
      </c>
      <c r="H14" s="3" t="inlineStr">
        <is>
          <t>CORS permite únicamente los orígenes conocidos por ambiente. No se usa '*' junto con credenciales o cookies.</t>
        </is>
      </c>
      <c r="I14" s="3" t="inlineStr">
        <is>
          <t>• allowedOrigins es una lista explícita por ambiente.
• No se combina '*' (u origen reflejado) con allowCredentials=true.
• CORS se define en un solo lugar (normalmente el gateway) sin configuraciones contradictorias en los servicios.</t>
        </is>
      </c>
      <c r="J14" s="3" t="inlineStr">
        <is>
          <t>Orígenes explícitos por ambiente y sin comodín con credenciales.</t>
        </is>
      </c>
      <c r="K14" s="3" t="inlineStr">
        <is>
          <t>Se permite '*', se refleja cualquier origen o se combina comodín con credenciales.</t>
        </is>
      </c>
    </row>
    <row r="15">
      <c r="A15" s="17" t="inlineStr">
        <is>
          <t>SEC-014</t>
        </is>
      </c>
      <c r="B15" s="3" t="inlineStr">
        <is>
          <t>Gestión de secretos</t>
        </is>
      </c>
      <c r="C15" s="3" t="inlineStr">
        <is>
          <t>Datos, secretos y configuración</t>
        </is>
      </c>
      <c r="D15" s="3" t="inlineStr">
        <is>
          <t>DEBE</t>
        </is>
      </c>
      <c r="E15" s="3" t="inlineStr">
        <is>
          <t>Crítica</t>
        </is>
      </c>
      <c r="F15" s="3" t="inlineStr">
        <is>
          <t>frontend, mobile, gateway, microservicio, integracion, infraestructura</t>
        </is>
      </c>
      <c r="G15" s="3" t="inlineStr">
        <is>
          <t>Estático</t>
        </is>
      </c>
      <c r="H15" s="3" t="inlineStr">
        <is>
          <t>Contraseñas, credenciales de BD, client secrets, tokens y claves de Cloudinary no se versionan. Los .env locales están en .gitignore y los ejemplos solo contienen valores ficticios. Tampoco hay secretos en documentación pública ni imágenes Docker.</t>
        </is>
      </c>
      <c r="I15" s="3" t="inlineStr">
        <is>
          <t>• .gitignore excluye .env y archivos de credenciales; no hay .env versionados (git ls-files).
• No hay secretos literales en código, application*.yml, docker-compose, Dockerfile (ENV/ARG), CI/CD ni documentación.
• Los archivos .env.example contienen solo valores ficticios.
• Las imágenes Docker no incorporan secretos (COPY .env, ARG con secretos).
• (Si es permitido) El historial de git no contiene secretos expuestos.</t>
        </is>
      </c>
      <c r="J15" s="3" t="inlineStr">
        <is>
          <t>No se hallan secretos versionados y los ejemplos son ficticios.</t>
        </is>
      </c>
      <c r="K15" s="3" t="inlineStr">
        <is>
          <t>Existe cualquier secreto real en el repositorio, en la imagen o en la documentación.</t>
        </is>
      </c>
    </row>
    <row r="16">
      <c r="A16" s="17" t="inlineStr">
        <is>
          <t>SEC-015</t>
        </is>
      </c>
      <c r="B16" s="3" t="inlineStr">
        <is>
          <t>Transporte seguro (HTTPS/TLS)</t>
        </is>
      </c>
      <c r="C16" s="3" t="inlineStr">
        <is>
          <t>Datos, secretos y configuración</t>
        </is>
      </c>
      <c r="D16" s="3" t="inlineStr">
        <is>
          <t>DEBE</t>
        </is>
      </c>
      <c r="E16" s="3" t="inlineStr">
        <is>
          <t>Alta</t>
        </is>
      </c>
      <c r="F16" s="3" t="inlineStr">
        <is>
          <t>frontend, mobile, gateway, microservicio, integracion, infraestructura</t>
        </is>
      </c>
      <c r="G16" s="3" t="inlineStr">
        <is>
          <t>Mixto</t>
        </is>
      </c>
      <c r="H16" s="3" t="inlineStr">
        <is>
          <t>Los ambientes productivos usan HTTPS para el navegador y TLS para las conexiones externas. Las excepciones locales se limitan al entorno de desarrollo.</t>
        </is>
      </c>
      <c r="I16" s="3" t="inlineStr">
        <is>
          <t>• Las URLs de producción (API, IdP, assets) usan https.
• Las conexiones externas (BD, colas, cache, terceros) usan TLS en producción.
• No se desactiva la validación de certificados fuera de desarrollo.
• Las excepciones HTTP/sin TLS están acotadas a perfiles de desarrollo.</t>
        </is>
      </c>
      <c r="J16" s="3" t="inlineStr">
        <is>
          <t>Producción usa HTTPS/TLS y las excepciones están limitadas a desarrollo.</t>
        </is>
      </c>
      <c r="K16" s="3" t="inlineStr">
        <is>
          <t>Hay tráfico productivo sin TLS o validación de certificados desactivada fuera de desarrollo.</t>
        </is>
      </c>
    </row>
    <row r="17">
      <c r="A17" s="17" t="inlineStr">
        <is>
          <t>SEC-016</t>
        </is>
      </c>
      <c r="B17" s="3" t="inlineStr">
        <is>
          <t>Validación de entrada</t>
        </is>
      </c>
      <c r="C17" s="3" t="inlineStr">
        <is>
          <t>Datos, secretos y configuración</t>
        </is>
      </c>
      <c r="D17" s="3" t="inlineStr">
        <is>
          <t>DEBE</t>
        </is>
      </c>
      <c r="E17" s="3" t="inlineStr">
        <is>
          <t>Alta</t>
        </is>
      </c>
      <c r="F17" s="3" t="inlineStr">
        <is>
          <t>gateway, microservicio</t>
        </is>
      </c>
      <c r="G17" s="3" t="inlineStr">
        <is>
          <t>Mixto</t>
        </is>
      </c>
      <c r="H17" s="3" t="inlineStr">
        <is>
          <t>Todo endpoint valida tipos, tamaños, formatos, rangos y campos obligatorios. La entrada del usuario no se concatena directamente en consultas, comandos o rutas sin validación y codificación apropiadas.</t>
        </is>
      </c>
      <c r="I17" s="3" t="inlineStr">
        <is>
          <t>• Los DTO/entradas de los endpoints tienen restricciones (obligatorio, tamaño, patrón, rango) y se activan con @Valid o equivalente.
• Las cargas de archivos validan tipo, tamaño y nombre.
• No hay concatenación de entrada de usuario en SQL/NoSQL, comandos del sistema o rutas de archivos.
• Los límites de tamaño de body/paginación están configurados.</t>
        </is>
      </c>
      <c r="J17" s="3" t="inlineStr">
        <is>
          <t>Todos los endpoints validan su entrada y no hay concatenación peligrosa.</t>
        </is>
      </c>
      <c r="K17" s="3" t="inlineStr">
        <is>
          <t>Hay endpoints sin validación o construcción de consultas/comandos/rutas con entrada sin sanear.</t>
        </is>
      </c>
    </row>
    <row r="18">
      <c r="A18" s="17" t="inlineStr">
        <is>
          <t>SEC-017</t>
        </is>
      </c>
      <c r="B18" s="3" t="inlineStr">
        <is>
          <t>Respuestas de error diferenciadas y seguras</t>
        </is>
      </c>
      <c r="C18" s="3" t="inlineStr">
        <is>
          <t>Errores, logs y auditoría</t>
        </is>
      </c>
      <c r="D18" s="3" t="inlineStr">
        <is>
          <t>DEBE</t>
        </is>
      </c>
      <c r="E18" s="3" t="inlineStr">
        <is>
          <t>Media</t>
        </is>
      </c>
      <c r="F18" s="3" t="inlineStr">
        <is>
          <t>gateway, microservicio</t>
        </is>
      </c>
      <c r="G18" s="3" t="inlineStr">
        <is>
          <t>Mixto</t>
        </is>
      </c>
      <c r="H18" s="3" t="inlineStr">
        <is>
          <t>El sistema diferencia 401 (sin autenticación/token inválido), 403 (sin permiso), 404 (inexistente o no visible para el contexto) y 422 (datos inválidos). Los mensajes no incluyen tokens, contraseñas, SQL, stack traces ni secretos.</t>
        </is>
      </c>
      <c r="I18" s="3" t="inlineStr">
        <is>
          <t>• Existe un manejador global de errores y un AuthenticationEntryPoint/AccessDeniedHandler que devuelven 401 y 403 respectivamente.
• Los errores de validación devuelven 422 (no 400 genérico ni 500).
• Los recursos inexistentes o de otro contexto devuelven 404.
• Las respuestas no exponen stack traces, SQL ni detalles internos.</t>
        </is>
      </c>
      <c r="J18" s="3" t="inlineStr">
        <is>
          <t>Los códigos 401/403/404/422 se devuelven según el estándar y no hay fuga de información.</t>
        </is>
      </c>
      <c r="K18" s="3" t="inlineStr">
        <is>
          <t>Se devuelven códigos incorrectos (p. ej. 500 por validación, 401 por falta de rol) o se exponen trazas/SQL/secretos.</t>
        </is>
      </c>
    </row>
    <row r="19">
      <c r="A19" s="17" t="inlineStr">
        <is>
          <t>SEC-018</t>
        </is>
      </c>
      <c r="B19" s="3" t="inlineStr">
        <is>
          <t>Logs seguros</t>
        </is>
      </c>
      <c r="C19" s="3" t="inlineStr">
        <is>
          <t>Errores, logs y auditoría</t>
        </is>
      </c>
      <c r="D19" s="3" t="inlineStr">
        <is>
          <t>DEBE</t>
        </is>
      </c>
      <c r="E19" s="3" t="inlineStr">
        <is>
          <t>Alta</t>
        </is>
      </c>
      <c r="F19" s="3" t="inlineStr">
        <is>
          <t>frontend, mobile, gateway, microservicio, integracion</t>
        </is>
      </c>
      <c r="G19" s="3" t="inlineStr">
        <is>
          <t>Mixto</t>
        </is>
      </c>
      <c r="H19" s="3" t="inlineStr">
        <is>
          <t>Los logs registran el resultado y el contexto mínimo necesario, pero no imprimen tokens completos, contraseñas, secretos ni datos personales innecesarios.</t>
        </is>
      </c>
      <c r="I19" s="3" t="inlineStr">
        <is>
          <t>• No se loguean tokens, headers Authorization, contraseñas ni secretos (código y niveles de log).
• No se loguean bodies completos de peticiones con datos sensibles.
• Niveles DEBUG/TRACE de seguridad y HTTP no están activos en producción.
• En frontend/mobile no hay console.log/print de tokens o datos sensibles.</t>
        </is>
      </c>
      <c r="J19" s="3" t="inlineStr">
        <is>
          <t>No hay registro de datos sensibles y los niveles productivos son adecuados.</t>
        </is>
      </c>
      <c r="K19" s="3" t="inlineStr">
        <is>
          <t>Se imprimen tokens, contraseñas, secretos o datos personales innecesarios.</t>
        </is>
      </c>
    </row>
    <row r="20">
      <c r="A20" s="17" t="inlineStr">
        <is>
          <t>SEC-019</t>
        </is>
      </c>
      <c r="B20" s="3" t="inlineStr">
        <is>
          <t>Auditoría de operaciones sensibles</t>
        </is>
      </c>
      <c r="C20" s="3" t="inlineStr">
        <is>
          <t>Errores, logs y auditoría</t>
        </is>
      </c>
      <c r="D20" s="3" t="inlineStr">
        <is>
          <t>DEBE</t>
        </is>
      </c>
      <c r="E20" s="3" t="inlineStr">
        <is>
          <t>Media</t>
        </is>
      </c>
      <c r="F20" s="3" t="inlineStr">
        <is>
          <t>gateway, microservicio</t>
        </is>
      </c>
      <c r="G20" s="3" t="inlineStr">
        <is>
          <t>Estático</t>
        </is>
      </c>
      <c r="H20" s="3" t="inlineStr">
        <is>
          <t>Las operaciones sensibles registran quién, cuándo, sobre qué recurso y qué resultado obtuvieron. La auditoría DEBERÍA conservar el tenant y un identificador de correlación.</t>
        </is>
      </c>
      <c r="I20" s="3" t="inlineStr">
        <is>
          <t>• Existe un mecanismo de auditoría (tabla, colección, eventos) para operaciones sensibles.
• Cada registro incluye actor, fecha/hora, recurso y resultado; DEBERÍA incluir tenant y correlation id.
• La cobertura incluye las operaciones sensibles del dominio (cambios de rol, notas, pagos, eliminaciones, accesos a datos personales).
• Los registros de auditoría no pueden ser modificados por usuarios de negocio.</t>
        </is>
      </c>
      <c r="J20" s="3" t="inlineStr">
        <is>
          <t>Las operaciones sensibles dejan evidencia completa con actor, momento, recurso y resultado.</t>
        </is>
      </c>
      <c r="K20" s="3" t="inlineStr">
        <is>
          <t>No existe auditoría o faltan campos esenciales en operaciones sensibles.</t>
        </is>
      </c>
    </row>
    <row r="21">
      <c r="A21" s="17" t="inlineStr">
        <is>
          <t>SEC-020</t>
        </is>
      </c>
      <c r="B21" s="3" t="inlineStr">
        <is>
          <t>Control de pertenencia sobre recursos</t>
        </is>
      </c>
      <c r="C21" s="3" t="inlineStr">
        <is>
          <t>Integridad transversal</t>
        </is>
      </c>
      <c r="D21" s="3" t="inlineStr">
        <is>
          <t>DEBE</t>
        </is>
      </c>
      <c r="E21" s="3" t="inlineStr">
        <is>
          <t>Crítica</t>
        </is>
      </c>
      <c r="F21" s="3" t="inlineStr">
        <is>
          <t>microservicio</t>
        </is>
      </c>
      <c r="G21" s="3" t="inlineStr">
        <is>
          <t>Mixto</t>
        </is>
      </c>
      <c r="H21" s="3" t="inlineStr">
        <is>
          <t>Cada servicio comprueba que el usuario tiene relación autorizada con el recurso que consulta o modifica (estudiantes, cursos, pagos, evaluaciones, asistencia, documentos).</t>
        </is>
      </c>
      <c r="I21" s="3" t="inlineStr">
        <is>
          <t>• Los endpoints que reciben un id de recurso verifican la relación del usuario con ese recurso (p. ej. docente-clase, acudiente-estudiante).
• No existen consultas por id solamente en endpoints accesibles a roles con alcance restringido (IDOR/BOLA).
• La verificación vive en la capa de servicio o seguridad, no solo en el frontend.</t>
        </is>
      </c>
      <c r="J21" s="3" t="inlineStr">
        <is>
          <t>Cada acceso a recurso verifica la pertenencia o relación autorizada del usuario.</t>
        </is>
      </c>
      <c r="K21" s="3" t="inlineStr">
        <is>
          <t>Es posible acceder o modificar recursos ajenos conociendo su id.</t>
        </is>
      </c>
    </row>
    <row r="22">
      <c r="A22" s="17" t="inlineStr">
        <is>
          <t>SEC-021</t>
        </is>
      </c>
      <c r="B22" s="3" t="inlineStr">
        <is>
          <t>Integridad de contexto</t>
        </is>
      </c>
      <c r="C22" s="3" t="inlineStr">
        <is>
          <t>Integridad transversal</t>
        </is>
      </c>
      <c r="D22" s="3" t="inlineStr">
        <is>
          <t>DEBE</t>
        </is>
      </c>
      <c r="E22" s="3" t="inlineStr">
        <is>
          <t>Alta</t>
        </is>
      </c>
      <c r="F22" s="3" t="inlineStr">
        <is>
          <t>microservicio</t>
        </is>
      </c>
      <c r="G22" s="3" t="inlineStr">
        <is>
          <t>Estático</t>
        </is>
      </c>
      <c r="H22" s="3" t="inlineStr">
        <is>
          <t>Las operaciones validan los contextos que correspondan al dominio (institución, tenant, año, periodo, curso, propietario). No se mezclan registros de contextos diferentes.</t>
        </is>
      </c>
      <c r="I22" s="3" t="inlineStr">
        <is>
          <t>• Al relacionar entidades (p. ej. curso con año lectivo, estudiante con curso) se valida que pertenecen al mismo tenant y periodo.
• Las consultas de listados filtran por el contexto vigente (año lectivo, periodo) cuando corresponde.
• El modelo de datos refuerza la coherencia (claves foráneas compuestas, restricciones).</t>
        </is>
      </c>
      <c r="J22" s="3" t="inlineStr">
        <is>
          <t>Las operaciones validan la coherencia de contexto entre las entidades involucradas.</t>
        </is>
      </c>
      <c r="K22" s="3" t="inlineStr">
        <is>
          <t>Se pueden relacionar o mezclar registros de distinto tenant, año o periodo.</t>
        </is>
      </c>
    </row>
    <row r="23">
      <c r="A23" s="17" t="inlineStr">
        <is>
          <t>SEC-022</t>
        </is>
      </c>
      <c r="B23" s="3" t="inlineStr">
        <is>
          <t>Idempotencia y control de concurrencia</t>
        </is>
      </c>
      <c r="C23" s="3" t="inlineStr">
        <is>
          <t>Integridad transversal</t>
        </is>
      </c>
      <c r="D23" s="3" t="inlineStr">
        <is>
          <t>DEBERÍA</t>
        </is>
      </c>
      <c r="E23" s="3" t="inlineStr">
        <is>
          <t>Media</t>
        </is>
      </c>
      <c r="F23" s="3" t="inlineStr">
        <is>
          <t>microservicio, integracion</t>
        </is>
      </c>
      <c r="G23" s="3" t="inlineStr">
        <is>
          <t>Mixto</t>
        </is>
      </c>
      <c r="H23" s="3" t="inlineStr">
        <is>
          <t>Las operaciones de creación o procesamiento masivo DEBERÍAN ser idempotentes. Reintentar por pérdida de conexión no debe crear duplicados ni cambiar un registro confirmado sin autorización.</t>
        </is>
      </c>
      <c r="I23" s="3" t="inlineStr">
        <is>
          <t>• Las operaciones masivas y de creación usan claves de idempotencia, upsert o restricciones únicas por clave natural.
• Existe control de concurrencia (versionado optimista, bloqueo) en entidades editables.
• Los registros confirmados no se modifican en reintentos sin autorización explícita.
• Consumidores de colas toleran mensajes duplicados.</t>
        </is>
      </c>
      <c r="J23" s="3" t="inlineStr">
        <is>
          <t>Los reintentos no generan duplicados ni sobrescrituras indebidas.</t>
        </is>
      </c>
      <c r="K23" s="3" t="inlineStr">
        <is>
          <t>Un reintento puede duplicar datos o alterar registros confirmados.</t>
        </is>
      </c>
    </row>
  </sheetData>
  <autoFilter ref="A1:K23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12" customWidth="1" min="3" max="3"/>
  </cols>
  <sheetData>
    <row r="1">
      <c r="A1" s="20" t="inlineStr">
        <is>
          <t>Leyenda, método de cálculo y supuestos</t>
        </is>
      </c>
    </row>
    <row r="3">
      <c r="A3" s="6" t="inlineStr">
        <is>
          <t>Estados y peso en el cumplimiento</t>
        </is>
      </c>
    </row>
    <row r="4">
      <c r="A4" s="11" t="inlineStr">
        <is>
          <t>Estado</t>
        </is>
      </c>
      <c r="B4" s="11" t="inlineStr">
        <is>
          <t>Significado</t>
        </is>
      </c>
      <c r="C4" s="11" t="inlineStr">
        <is>
          <t>Peso</t>
        </is>
      </c>
    </row>
    <row r="5">
      <c r="A5" s="12" t="inlineStr">
        <is>
          <t>CUMPLE</t>
        </is>
      </c>
      <c r="B5" s="3" t="inlineStr">
        <is>
          <t>Todas las verificaciones obligatorias de la regla tienen evidencia positiva.</t>
        </is>
      </c>
      <c r="C5" s="32" t="n">
        <v>1</v>
      </c>
    </row>
    <row r="6">
      <c r="A6" s="12" t="inlineStr">
        <is>
          <t>PARCIAL</t>
        </is>
      </c>
      <c r="B6" s="3" t="inlineStr">
        <is>
          <t>Algunas verificaciones se cumplen y otras no, o se cumple solo en parte del componente.</t>
        </is>
      </c>
      <c r="C6" s="32" t="n">
        <v>0.5</v>
      </c>
    </row>
    <row r="7">
      <c r="A7" s="12" t="inlineStr">
        <is>
          <t>NO_CUMPLE</t>
        </is>
      </c>
      <c r="B7" s="3" t="inlineStr">
        <is>
          <t>Hay evidencia de incumplimiento, o el control esperado no existe tras revisar el código relevante.</t>
        </is>
      </c>
      <c r="C7" s="32" t="n">
        <v>0</v>
      </c>
    </row>
    <row r="8">
      <c r="A8" s="12" t="inlineStr">
        <is>
          <t>NO_APLICA</t>
        </is>
      </c>
      <c r="B8" s="3" t="inlineStr">
        <is>
          <t>La regla no aplica al componente; debe justificarse en la observación.</t>
        </is>
      </c>
      <c r="C8" s="32" t="n">
        <v>1</v>
      </c>
    </row>
    <row r="9">
      <c r="A9" s="12" t="inlineStr">
        <is>
          <t>REQUIERE_REVISION_MANUAL</t>
        </is>
      </c>
      <c r="B9" s="3" t="inlineStr">
        <is>
          <t>No se puede decidir con el código disponible (configuración externa, prueba dinámica, decisión de negocio).</t>
        </is>
      </c>
      <c r="C9" s="33" t="inlineStr">
        <is>
          <t>n/a</t>
        </is>
      </c>
    </row>
    <row r="10">
      <c r="A10" s="12" t="inlineStr">
        <is>
          <t>SIN_EVALUAR</t>
        </is>
      </c>
      <c r="B10" s="3" t="inlineStr">
        <is>
          <t>Estado automático del generador cuando una regla aplicable no tiene resultado.</t>
        </is>
      </c>
      <c r="C10" s="33" t="inlineStr">
        <is>
          <t>n/a</t>
        </is>
      </c>
    </row>
    <row r="11">
      <c r="A11" s="10" t="inlineStr">
        <is>
          <t>Los pesos en azul/amarillo son supuestos editables: PARCIAL=0.5 es una convención de este reporte, no del estándar.</t>
        </is>
      </c>
    </row>
    <row r="13">
      <c r="A13" s="6" t="inlineStr">
        <is>
          <t>Niveles normativos del estándar</t>
        </is>
      </c>
    </row>
    <row r="14">
      <c r="A14" s="12" t="inlineStr">
        <is>
          <t>DEBE</t>
        </is>
      </c>
      <c r="B14" s="3" t="inlineStr">
        <is>
          <t>Requisito obligatorio. Un NO_CUMPLE bloquea el veredicto.</t>
        </is>
      </c>
      <c r="C14" s="34" t="n"/>
    </row>
    <row r="15">
      <c r="A15" s="12" t="inlineStr">
        <is>
          <t>DEBERÍA</t>
        </is>
      </c>
      <c r="B15" s="3" t="inlineStr">
        <is>
          <t>Recomendación; solo puede omitirse con justificación.</t>
        </is>
      </c>
      <c r="C15" s="34" t="n"/>
    </row>
    <row r="17">
      <c r="A17" s="6" t="inlineStr">
        <is>
          <t>Notas de lectura</t>
        </is>
      </c>
    </row>
    <row r="18" ht="15" customHeight="1">
      <c r="A18" s="19" t="inlineStr">
        <is>
          <t>• Celdas amarillas con texto azul = datos para completar (responsable, fechas, comentarios, pesos).</t>
        </is>
      </c>
    </row>
    <row r="19" ht="30" customHeight="1">
      <c r="A19" s="19" t="inlineStr">
        <is>
          <t>• Resumen, Matriz y Checklist son fórmulas sobre la hoja Resultados; al corregir un estado se recalculan.</t>
        </is>
      </c>
    </row>
    <row r="20" ht="15" customHeight="1">
      <c r="A20" s="19" t="inlineStr">
        <is>
          <t>• La hoja Hallazgos es una instantánea de los NO_CUMPLE/PARCIAL al momento de generar el reporte.</t>
        </is>
      </c>
    </row>
    <row r="21" ht="30" customHeight="1">
      <c r="A21" s="19" t="inlineStr">
        <is>
          <t>• El nivel de cada regla (DEBE/DEBERÍA) es el predominante en el texto del estándar; algunas reglas mezclan ambos (p. ej. SEC-007, SEC-009) y el detalle está en la hoja Reglas.</t>
        </is>
      </c>
    </row>
    <row r="22" ht="30" customHeight="1">
      <c r="A22" s="19" t="inlineStr">
        <is>
          <t>• El generador enmascara automáticamente secretos evidentes (JWT, claves privadas, password=...) en la evidencia.</t>
        </is>
      </c>
    </row>
    <row r="23" ht="15" customHeight="1">
      <c r="A23" s="19" t="inlineStr">
        <is>
          <t>• Catálogo de reglas: versión 1.0.0 del estándar (Propuesta para revisión).</t>
        </is>
      </c>
    </row>
  </sheetData>
  <mergeCells count="8">
    <mergeCell ref="A19:C19"/>
    <mergeCell ref="B15:C15"/>
    <mergeCell ref="A23:C23"/>
    <mergeCell ref="A22:C22"/>
    <mergeCell ref="A18:C18"/>
    <mergeCell ref="B14:C14"/>
    <mergeCell ref="A21:C21"/>
    <mergeCell ref="A20:C20"/>
  </mergeCells>
  <conditionalFormatting sqref="A5:A10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Reporte de cumplimiento del estándar de seguridad</dc:title>
  <dcterms:created xsi:type="dcterms:W3CDTF">2026-10-23T16:20:37Z</dcterms:created>
  <dcterms:modified xsi:type="dcterms:W3CDTF">2026-10-23T16:20:37Z</dcterms:modified>
</cp:coreProperties>
</file>